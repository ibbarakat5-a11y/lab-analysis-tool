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icarepal-my.sharepoint.com/personal/ibarakat_medicare_ps/Documents/Documents/"/>
    </mc:Choice>
  </mc:AlternateContent>
  <xr:revisionPtr revIDLastSave="1" documentId="8_{C768D657-845A-4B4C-A09E-E5792827344A}" xr6:coauthVersionLast="47" xr6:coauthVersionMax="47" xr10:uidLastSave="{52B9F530-68F8-42CE-B2BF-F28C85A02CEE}"/>
  <bookViews>
    <workbookView xWindow="-120" yWindow="-120" windowWidth="29040" windowHeight="15720" activeTab="13" xr2:uid="{7CBE72D3-7C6A-4503-BB54-A6FC489B24BD}"/>
  </bookViews>
  <sheets>
    <sheet name="AVG" sheetId="47" r:id="rId1"/>
    <sheet name="VIT D" sheetId="12" r:id="rId2"/>
    <sheet name="VIT B12" sheetId="42" r:id="rId3"/>
    <sheet name="TSH" sheetId="37" r:id="rId4"/>
    <sheet name="FERRITIN" sheetId="19" r:id="rId5"/>
    <sheet name="FT4" sheetId="23" r:id="rId6"/>
    <sheet name="FSH" sheetId="22" r:id="rId7"/>
    <sheet name="PROL" sheetId="33" r:id="rId8"/>
    <sheet name="PSA" sheetId="34" r:id="rId9"/>
    <sheet name="BHCG" sheetId="14" r:id="rId10"/>
    <sheet name="HBsAg" sheetId="28" r:id="rId11"/>
    <sheet name="LH" sheetId="31" r:id="rId12"/>
    <sheet name="FT3" sheetId="11" r:id="rId13"/>
    <sheet name="TEST" sheetId="35" r:id="rId14"/>
    <sheet name="AMH" sheetId="13" r:id="rId15"/>
    <sheet name="GLU" sheetId="41" r:id="rId16"/>
    <sheet name="CREAT" sheetId="17" r:id="rId17"/>
    <sheet name="TC" sheetId="16" r:id="rId18"/>
    <sheet name="TG" sheetId="36" r:id="rId19"/>
    <sheet name="GPT" sheetId="25" r:id="rId20"/>
    <sheet name="GOT" sheetId="24" r:id="rId21"/>
    <sheet name="HDL" sheetId="29" r:id="rId22"/>
    <sheet name="LDL" sheetId="30" r:id="rId23"/>
    <sheet name="CRP" sheetId="18" r:id="rId24"/>
  </sheets>
  <definedNames>
    <definedName name="_xlnm._FilterDatabase" localSheetId="9" hidden="1">BHCG!$A$1:$F$27</definedName>
    <definedName name="_xlnm._FilterDatabase" localSheetId="16" hidden="1">CREAT!$A$1:$F$30</definedName>
    <definedName name="_xlnm._FilterDatabase" localSheetId="4" hidden="1">FERRITIN!$A$1:$F$29</definedName>
    <definedName name="_xlnm._FilterDatabase" localSheetId="6" hidden="1">FSH!$A$1:$F$23</definedName>
    <definedName name="_xlnm._FilterDatabase" localSheetId="12" hidden="1">'FT3'!$A$1:$F$26</definedName>
    <definedName name="_xlnm._FilterDatabase" localSheetId="5" hidden="1">'FT4'!$A$1:$F$27</definedName>
    <definedName name="_xlnm._FilterDatabase" localSheetId="15" hidden="1">GLU!$A$1:$F$30</definedName>
    <definedName name="_xlnm._FilterDatabase" localSheetId="10" hidden="1">HBsAg!$A$1:$F$2</definedName>
    <definedName name="_xlnm._FilterDatabase" localSheetId="11" hidden="1">LH!$A$1:$F$26</definedName>
    <definedName name="_xlnm._FilterDatabase" localSheetId="7" hidden="1">PROL!$A$1:$F$28</definedName>
    <definedName name="_xlnm._FilterDatabase" localSheetId="8" hidden="1">PSA!$A$1:$F$17</definedName>
    <definedName name="_xlnm._FilterDatabase" localSheetId="13" hidden="1">TEST!$A$1:$F$16</definedName>
    <definedName name="_xlnm._FilterDatabase" localSheetId="3" hidden="1">TSH!$A$1:$F$31</definedName>
    <definedName name="_xlnm._FilterDatabase" localSheetId="1" hidden="1">'VIT D'!$A$1:$F$29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8" l="1"/>
  <c r="H28" i="18"/>
  <c r="H16" i="18"/>
  <c r="H23" i="18"/>
  <c r="H10" i="18"/>
  <c r="H11" i="18"/>
  <c r="H27" i="18"/>
  <c r="H5" i="18"/>
  <c r="H22" i="18"/>
  <c r="H17" i="18"/>
  <c r="H8" i="18"/>
  <c r="H13" i="18"/>
  <c r="H2" i="18"/>
  <c r="H9" i="18"/>
  <c r="H6" i="18"/>
  <c r="H19" i="18"/>
  <c r="H14" i="18"/>
  <c r="H21" i="18"/>
  <c r="H24" i="18"/>
  <c r="H3" i="18"/>
  <c r="H26" i="18"/>
  <c r="H15" i="18"/>
  <c r="H20" i="18"/>
  <c r="H4" i="18"/>
  <c r="H7" i="18"/>
  <c r="H18" i="18"/>
  <c r="H29" i="18"/>
  <c r="H12" i="18"/>
  <c r="H30" i="18"/>
  <c r="H21" i="30"/>
  <c r="H27" i="30"/>
  <c r="H22" i="30"/>
  <c r="H19" i="30"/>
  <c r="H24" i="30"/>
  <c r="H6" i="30"/>
  <c r="H26" i="30"/>
  <c r="H13" i="30"/>
  <c r="H11" i="30"/>
  <c r="H17" i="30"/>
  <c r="H25" i="30"/>
  <c r="H20" i="30"/>
  <c r="H18" i="30"/>
  <c r="H10" i="30"/>
  <c r="H2" i="30"/>
  <c r="H9" i="30"/>
  <c r="H16" i="30"/>
  <c r="H5" i="30"/>
  <c r="H30" i="30"/>
  <c r="H12" i="30"/>
  <c r="H15" i="30"/>
  <c r="H23" i="30"/>
  <c r="H8" i="30"/>
  <c r="H4" i="30"/>
  <c r="H3" i="30"/>
  <c r="H7" i="30"/>
  <c r="H14" i="30"/>
  <c r="H28" i="30"/>
  <c r="H29" i="30"/>
  <c r="H25" i="29"/>
  <c r="H31" i="29"/>
  <c r="H30" i="29"/>
  <c r="H22" i="29"/>
  <c r="H26" i="29"/>
  <c r="H16" i="29"/>
  <c r="H18" i="29"/>
  <c r="H7" i="29"/>
  <c r="H19" i="29"/>
  <c r="H20" i="29"/>
  <c r="H23" i="29"/>
  <c r="H27" i="29"/>
  <c r="H14" i="29"/>
  <c r="H21" i="29"/>
  <c r="H8" i="29"/>
  <c r="H11" i="29"/>
  <c r="H28" i="29"/>
  <c r="H17" i="29"/>
  <c r="H24" i="29"/>
  <c r="H15" i="29"/>
  <c r="H2" i="29"/>
  <c r="H5" i="29"/>
  <c r="H12" i="29"/>
  <c r="H10" i="29"/>
  <c r="H13" i="29"/>
  <c r="H6" i="29"/>
  <c r="H4" i="29"/>
  <c r="H3" i="29"/>
  <c r="H9" i="29"/>
  <c r="H29" i="29"/>
  <c r="H26" i="24"/>
  <c r="H23" i="24"/>
  <c r="H24" i="24"/>
  <c r="H6" i="24"/>
  <c r="H21" i="24"/>
  <c r="H25" i="24"/>
  <c r="H18" i="24"/>
  <c r="H20" i="24"/>
  <c r="H12" i="24"/>
  <c r="H17" i="24"/>
  <c r="H9" i="24"/>
  <c r="H16" i="24"/>
  <c r="H13" i="24"/>
  <c r="H7" i="24"/>
  <c r="H2" i="24"/>
  <c r="H10" i="24"/>
  <c r="H19" i="24"/>
  <c r="H22" i="24"/>
  <c r="H4" i="24"/>
  <c r="H8" i="24"/>
  <c r="H14" i="24"/>
  <c r="H3" i="24"/>
  <c r="H15" i="24"/>
  <c r="H11" i="24"/>
  <c r="H5" i="24"/>
  <c r="H27" i="24"/>
  <c r="H26" i="25"/>
  <c r="H8" i="25"/>
  <c r="H22" i="25"/>
  <c r="H25" i="25"/>
  <c r="H21" i="25"/>
  <c r="H18" i="25"/>
  <c r="H28" i="25"/>
  <c r="H20" i="25"/>
  <c r="H17" i="25"/>
  <c r="H16" i="25"/>
  <c r="H15" i="25"/>
  <c r="H23" i="25"/>
  <c r="H7" i="25"/>
  <c r="H19" i="25"/>
  <c r="H2" i="25"/>
  <c r="H14" i="25"/>
  <c r="H6" i="25"/>
  <c r="H9" i="25"/>
  <c r="H13" i="25"/>
  <c r="H24" i="25"/>
  <c r="H4" i="25"/>
  <c r="H12" i="25"/>
  <c r="H5" i="25"/>
  <c r="H10" i="25"/>
  <c r="H11" i="25"/>
  <c r="H3" i="25"/>
  <c r="H27" i="25"/>
  <c r="H20" i="36"/>
  <c r="H28" i="36"/>
  <c r="H21" i="36"/>
  <c r="H22" i="36"/>
  <c r="H23" i="36"/>
  <c r="H26" i="36"/>
  <c r="H7" i="36"/>
  <c r="H18" i="36"/>
  <c r="H14" i="36"/>
  <c r="H17" i="36"/>
  <c r="H19" i="36"/>
  <c r="H24" i="36"/>
  <c r="H6" i="36"/>
  <c r="H2" i="36"/>
  <c r="H9" i="36"/>
  <c r="H25" i="36"/>
  <c r="H4" i="36"/>
  <c r="H12" i="36"/>
  <c r="H5" i="36"/>
  <c r="H10" i="36"/>
  <c r="H15" i="36"/>
  <c r="H16" i="36"/>
  <c r="H13" i="36"/>
  <c r="H11" i="36"/>
  <c r="H8" i="36"/>
  <c r="H3" i="36"/>
  <c r="H5" i="16"/>
  <c r="H19" i="16"/>
  <c r="H23" i="16"/>
  <c r="H24" i="16"/>
  <c r="H18" i="16"/>
  <c r="H20" i="16"/>
  <c r="H6" i="16"/>
  <c r="H16" i="16"/>
  <c r="H22" i="16"/>
  <c r="H17" i="16"/>
  <c r="H21" i="16"/>
  <c r="H15" i="16"/>
  <c r="H2" i="16"/>
  <c r="H10" i="16"/>
  <c r="H27" i="16"/>
  <c r="H25" i="16"/>
  <c r="H26" i="16"/>
  <c r="H29" i="16"/>
  <c r="H9" i="16"/>
  <c r="H14" i="16"/>
  <c r="H4" i="16"/>
  <c r="H8" i="16"/>
  <c r="H11" i="16"/>
  <c r="H12" i="16"/>
  <c r="H7" i="16"/>
  <c r="H13" i="16"/>
  <c r="H3" i="16"/>
  <c r="H28" i="16"/>
  <c r="H30" i="17"/>
  <c r="H28" i="17"/>
  <c r="H31" i="17"/>
  <c r="H29" i="17"/>
  <c r="H18" i="17"/>
  <c r="H2" i="17"/>
  <c r="H22" i="17"/>
  <c r="H25" i="17"/>
  <c r="H21" i="17"/>
  <c r="H26" i="17"/>
  <c r="H23" i="17"/>
  <c r="H10" i="17"/>
  <c r="H6" i="17"/>
  <c r="H17" i="17"/>
  <c r="H3" i="17"/>
  <c r="H19" i="17"/>
  <c r="H20" i="17"/>
  <c r="H12" i="17"/>
  <c r="H15" i="17"/>
  <c r="H5" i="17"/>
  <c r="H16" i="17"/>
  <c r="H24" i="17"/>
  <c r="H7" i="17"/>
  <c r="H11" i="17"/>
  <c r="H13" i="17"/>
  <c r="H14" i="17"/>
  <c r="H4" i="17"/>
  <c r="H9" i="17"/>
  <c r="H8" i="17"/>
  <c r="H27" i="17"/>
  <c r="H31" i="41"/>
  <c r="H9" i="41"/>
  <c r="H26" i="41"/>
  <c r="H16" i="41"/>
  <c r="H18" i="41"/>
  <c r="H23" i="41"/>
  <c r="H20" i="41"/>
  <c r="H30" i="41"/>
  <c r="H12" i="41"/>
  <c r="H27" i="41"/>
  <c r="H19" i="41"/>
  <c r="H17" i="41"/>
  <c r="H8" i="41"/>
  <c r="H28" i="41"/>
  <c r="H21" i="41"/>
  <c r="H25" i="41"/>
  <c r="H15" i="41"/>
  <c r="H10" i="41"/>
  <c r="H13" i="41"/>
  <c r="H2" i="41"/>
  <c r="H7" i="41"/>
  <c r="H14" i="41"/>
  <c r="H22" i="41"/>
  <c r="H6" i="41"/>
  <c r="H5" i="41"/>
  <c r="H29" i="41"/>
  <c r="H4" i="41"/>
  <c r="H3" i="41"/>
  <c r="H11" i="41"/>
  <c r="H24" i="41"/>
  <c r="H6" i="13"/>
  <c r="H8" i="13"/>
  <c r="H5" i="13"/>
  <c r="H2" i="13"/>
  <c r="H7" i="13"/>
  <c r="H3" i="13"/>
  <c r="H4" i="13"/>
  <c r="H9" i="13"/>
  <c r="H14" i="35" l="1"/>
  <c r="H16" i="35"/>
  <c r="H12" i="35"/>
  <c r="H11" i="35"/>
  <c r="H15" i="35"/>
  <c r="H10" i="35"/>
  <c r="H7" i="35"/>
  <c r="H13" i="35"/>
  <c r="H2" i="35"/>
  <c r="H3" i="35"/>
  <c r="H8" i="35"/>
  <c r="H6" i="35"/>
  <c r="H4" i="35"/>
  <c r="H9" i="35"/>
  <c r="H5" i="35"/>
  <c r="H17" i="35"/>
  <c r="H24" i="11"/>
  <c r="H20" i="11"/>
  <c r="H16" i="11"/>
  <c r="H27" i="11"/>
  <c r="H9" i="11"/>
  <c r="H19" i="11"/>
  <c r="H23" i="11"/>
  <c r="H25" i="11"/>
  <c r="H8" i="11"/>
  <c r="H15" i="11"/>
  <c r="H14" i="11"/>
  <c r="H7" i="11"/>
  <c r="H11" i="11"/>
  <c r="H17" i="11"/>
  <c r="H12" i="11"/>
  <c r="H5" i="11"/>
  <c r="H2" i="11"/>
  <c r="H18" i="11"/>
  <c r="H21" i="11"/>
  <c r="H6" i="11"/>
  <c r="H13" i="11"/>
  <c r="H4" i="11"/>
  <c r="H22" i="11"/>
  <c r="H10" i="11"/>
  <c r="H3" i="11"/>
  <c r="H26" i="11"/>
  <c r="H26" i="31"/>
  <c r="H24" i="31"/>
  <c r="H23" i="31"/>
  <c r="H21" i="31"/>
  <c r="H25" i="31"/>
  <c r="H19" i="31"/>
  <c r="H7" i="31"/>
  <c r="H12" i="31"/>
  <c r="H15" i="31"/>
  <c r="H17" i="31"/>
  <c r="H8" i="31"/>
  <c r="H2" i="31"/>
  <c r="H20" i="31"/>
  <c r="H11" i="31"/>
  <c r="H14" i="31"/>
  <c r="H4" i="31"/>
  <c r="H16" i="31"/>
  <c r="H18" i="31"/>
  <c r="H9" i="31"/>
  <c r="H13" i="31"/>
  <c r="H10" i="31"/>
  <c r="H22" i="31"/>
  <c r="H3" i="31"/>
  <c r="H5" i="31"/>
  <c r="H6" i="31"/>
  <c r="H27" i="31"/>
  <c r="H21" i="28"/>
  <c r="H18" i="28"/>
  <c r="H14" i="28"/>
  <c r="H19" i="28"/>
  <c r="H17" i="28"/>
  <c r="H20" i="28"/>
  <c r="H9" i="28"/>
  <c r="H12" i="28"/>
  <c r="H5" i="28"/>
  <c r="H2" i="28"/>
  <c r="H6" i="28"/>
  <c r="H3" i="28"/>
  <c r="H7" i="28"/>
  <c r="H13" i="28"/>
  <c r="H15" i="28"/>
  <c r="H8" i="28"/>
  <c r="H11" i="28"/>
  <c r="H4" i="28"/>
  <c r="H10" i="28"/>
  <c r="H16" i="28"/>
  <c r="H27" i="14"/>
  <c r="H24" i="14"/>
  <c r="H25" i="14"/>
  <c r="H20" i="14"/>
  <c r="H22" i="14"/>
  <c r="H23" i="14"/>
  <c r="H11" i="14"/>
  <c r="H14" i="14"/>
  <c r="H26" i="14"/>
  <c r="H17" i="14"/>
  <c r="H18" i="14"/>
  <c r="H10" i="14"/>
  <c r="H12" i="14"/>
  <c r="H16" i="14"/>
  <c r="H13" i="14"/>
  <c r="H7" i="14"/>
  <c r="H15" i="14"/>
  <c r="H2" i="14"/>
  <c r="H21" i="14"/>
  <c r="H6" i="14"/>
  <c r="H9" i="14"/>
  <c r="H8" i="14"/>
  <c r="H4" i="14"/>
  <c r="H5" i="14"/>
  <c r="H19" i="14"/>
  <c r="H3" i="14"/>
  <c r="H28" i="14"/>
  <c r="H17" i="34"/>
  <c r="H12" i="34"/>
  <c r="H11" i="34"/>
  <c r="H14" i="34"/>
  <c r="H9" i="34"/>
  <c r="H18" i="34"/>
  <c r="H13" i="34"/>
  <c r="H15" i="34"/>
  <c r="H7" i="34"/>
  <c r="H2" i="34"/>
  <c r="H10" i="34"/>
  <c r="H4" i="34"/>
  <c r="H5" i="34"/>
  <c r="H6" i="34"/>
  <c r="H8" i="34"/>
  <c r="H3" i="34"/>
  <c r="H16" i="34"/>
  <c r="H28" i="33"/>
  <c r="H25" i="33"/>
  <c r="H18" i="33"/>
  <c r="H15" i="33"/>
  <c r="H13" i="33"/>
  <c r="H27" i="33"/>
  <c r="H19" i="33"/>
  <c r="H23" i="33"/>
  <c r="H26" i="33"/>
  <c r="H17" i="33"/>
  <c r="H14" i="33"/>
  <c r="H24" i="33"/>
  <c r="H21" i="33"/>
  <c r="H22" i="33"/>
  <c r="H12" i="33"/>
  <c r="H16" i="33"/>
  <c r="H20" i="33"/>
  <c r="H2" i="33"/>
  <c r="H10" i="33"/>
  <c r="H3" i="33"/>
  <c r="H6" i="33"/>
  <c r="H9" i="33"/>
  <c r="H7" i="33"/>
  <c r="H4" i="33"/>
  <c r="H11" i="33"/>
  <c r="H5" i="33"/>
  <c r="H8" i="33"/>
  <c r="H29" i="33"/>
  <c r="H23" i="22"/>
  <c r="H21" i="22"/>
  <c r="H22" i="22"/>
  <c r="H16" i="22"/>
  <c r="H19" i="22"/>
  <c r="H20" i="22"/>
  <c r="H15" i="22"/>
  <c r="H12" i="22"/>
  <c r="H17" i="22"/>
  <c r="H11" i="22"/>
  <c r="H18" i="22"/>
  <c r="H9" i="22"/>
  <c r="H7" i="22"/>
  <c r="H14" i="22"/>
  <c r="H2" i="22"/>
  <c r="H13" i="22"/>
  <c r="H6" i="22"/>
  <c r="H3" i="22"/>
  <c r="H8" i="22"/>
  <c r="H5" i="22"/>
  <c r="H10" i="22"/>
  <c r="H4" i="22"/>
  <c r="H24" i="22"/>
  <c r="H22" i="23"/>
  <c r="H19" i="23"/>
  <c r="H18" i="23"/>
  <c r="H26" i="23"/>
  <c r="H23" i="23"/>
  <c r="H17" i="23"/>
  <c r="H21" i="23"/>
  <c r="H16" i="23"/>
  <c r="H25" i="23"/>
  <c r="H24" i="23"/>
  <c r="H27" i="23"/>
  <c r="H9" i="23"/>
  <c r="H15" i="23"/>
  <c r="H13" i="23"/>
  <c r="H20" i="23"/>
  <c r="H14" i="23"/>
  <c r="H12" i="23"/>
  <c r="H2" i="23"/>
  <c r="H7" i="23"/>
  <c r="H10" i="23"/>
  <c r="H8" i="23"/>
  <c r="H6" i="23"/>
  <c r="H11" i="23"/>
  <c r="H5" i="23"/>
  <c r="H4" i="23"/>
  <c r="H3" i="23"/>
  <c r="H28" i="23"/>
  <c r="H28" i="19"/>
  <c r="H25" i="19"/>
  <c r="H30" i="19"/>
  <c r="H27" i="19"/>
  <c r="H19" i="19"/>
  <c r="H14" i="19"/>
  <c r="H11" i="19"/>
  <c r="H20" i="19"/>
  <c r="H16" i="19"/>
  <c r="H22" i="19"/>
  <c r="H15" i="19"/>
  <c r="H12" i="19"/>
  <c r="H23" i="19"/>
  <c r="H24" i="19"/>
  <c r="H26" i="19"/>
  <c r="H29" i="19"/>
  <c r="H2" i="19"/>
  <c r="H18" i="19"/>
  <c r="H10" i="19"/>
  <c r="H13" i="19"/>
  <c r="H17" i="19"/>
  <c r="H9" i="19"/>
  <c r="H7" i="19"/>
  <c r="H6" i="19"/>
  <c r="H3" i="19"/>
  <c r="H5" i="19"/>
  <c r="H4" i="19"/>
  <c r="H8" i="19"/>
  <c r="H21" i="19"/>
  <c r="H30" i="37"/>
  <c r="H18" i="37"/>
  <c r="H27" i="37"/>
  <c r="H29" i="37"/>
  <c r="H17" i="37"/>
  <c r="H25" i="37"/>
  <c r="H19" i="37"/>
  <c r="H22" i="37"/>
  <c r="H11" i="37"/>
  <c r="H12" i="37"/>
  <c r="H14" i="37"/>
  <c r="H16" i="37"/>
  <c r="H31" i="37"/>
  <c r="H20" i="37"/>
  <c r="H23" i="37"/>
  <c r="H26" i="37"/>
  <c r="H15" i="37"/>
  <c r="H2" i="37"/>
  <c r="H28" i="37"/>
  <c r="H10" i="37"/>
  <c r="H9" i="37"/>
  <c r="H21" i="37"/>
  <c r="H5" i="37"/>
  <c r="H8" i="37"/>
  <c r="H13" i="37"/>
  <c r="H24" i="37"/>
  <c r="H4" i="37"/>
  <c r="H7" i="37"/>
  <c r="H6" i="37"/>
  <c r="H3" i="37"/>
  <c r="H32" i="37"/>
  <c r="H26" i="42"/>
  <c r="H28" i="42"/>
  <c r="H20" i="42"/>
  <c r="H18" i="42"/>
  <c r="H31" i="42"/>
  <c r="H22" i="42"/>
  <c r="H23" i="42"/>
  <c r="H16" i="42"/>
  <c r="H19" i="42"/>
  <c r="H12" i="42"/>
  <c r="H13" i="42"/>
  <c r="H14" i="42"/>
  <c r="H30" i="42"/>
  <c r="H25" i="42"/>
  <c r="H21" i="42"/>
  <c r="H2" i="42"/>
  <c r="H15" i="42"/>
  <c r="H17" i="42"/>
  <c r="H11" i="42"/>
  <c r="H27" i="42"/>
  <c r="H29" i="42"/>
  <c r="H7" i="42"/>
  <c r="H5" i="42"/>
  <c r="H9" i="42"/>
  <c r="H6" i="42"/>
  <c r="H3" i="42"/>
  <c r="H4" i="42"/>
  <c r="H8" i="42"/>
  <c r="H10" i="42"/>
  <c r="H24" i="42"/>
  <c r="H23" i="12"/>
  <c r="H28" i="12"/>
  <c r="H30" i="12"/>
  <c r="H25" i="12"/>
  <c r="H16" i="12"/>
  <c r="H19" i="12"/>
  <c r="H7" i="12"/>
  <c r="H18" i="12"/>
  <c r="H10" i="12"/>
  <c r="H22" i="12"/>
  <c r="H24" i="12"/>
  <c r="H17" i="12"/>
  <c r="H26" i="12"/>
  <c r="H13" i="12"/>
  <c r="H29" i="12"/>
  <c r="H4" i="12"/>
  <c r="H2" i="12"/>
  <c r="H14" i="12"/>
  <c r="H15" i="12"/>
  <c r="H27" i="12"/>
  <c r="H9" i="12"/>
  <c r="H5" i="12"/>
  <c r="H3" i="12"/>
  <c r="H11" i="12"/>
  <c r="H21" i="12"/>
  <c r="H8" i="12"/>
  <c r="H6" i="12"/>
  <c r="H12" i="12"/>
  <c r="H20" i="12"/>
  <c r="G28" i="47" l="1"/>
  <c r="G31" i="47"/>
  <c r="G25" i="47"/>
  <c r="G26" i="47"/>
  <c r="G20" i="47"/>
  <c r="G21" i="47"/>
  <c r="G24" i="47"/>
  <c r="G17" i="47"/>
  <c r="G30" i="47"/>
  <c r="G18" i="47"/>
  <c r="G29" i="47"/>
  <c r="G16" i="47"/>
  <c r="G27" i="47"/>
  <c r="G22" i="47"/>
  <c r="G5" i="47"/>
  <c r="G7" i="47"/>
  <c r="G23" i="47"/>
  <c r="G10" i="47"/>
  <c r="G8" i="47"/>
  <c r="G19" i="47"/>
  <c r="G2" i="47"/>
  <c r="G9" i="47"/>
  <c r="G13" i="47"/>
  <c r="G12" i="47"/>
  <c r="G3" i="47"/>
  <c r="G6" i="47"/>
  <c r="G15" i="47"/>
  <c r="G14" i="47"/>
  <c r="G4" i="47"/>
  <c r="G11" i="47"/>
  <c r="G32" i="47"/>
  <c r="G33" i="47"/>
  <c r="G27" i="42"/>
  <c r="G24" i="41"/>
  <c r="F24" i="41"/>
  <c r="G18" i="41" l="1"/>
  <c r="E24" i="47" l="1"/>
  <c r="E6" i="47"/>
  <c r="E30" i="47"/>
  <c r="E32" i="47"/>
  <c r="E9" i="47"/>
  <c r="E13" i="47"/>
  <c r="E28" i="47"/>
  <c r="E14" i="47"/>
  <c r="E10" i="47"/>
  <c r="E16" i="47"/>
  <c r="E5" i="47"/>
  <c r="E31" i="47"/>
  <c r="E21" i="47"/>
  <c r="E22" i="47"/>
  <c r="E3" i="47"/>
  <c r="E4" i="47"/>
  <c r="E7" i="47"/>
  <c r="E20" i="47"/>
  <c r="E29" i="47"/>
  <c r="E27" i="47"/>
  <c r="E33" i="47"/>
  <c r="E11" i="47"/>
  <c r="E8" i="47"/>
  <c r="E15" i="47"/>
  <c r="E12" i="47"/>
  <c r="E17" i="47"/>
  <c r="E19" i="47"/>
  <c r="E25" i="47"/>
  <c r="E23" i="47"/>
  <c r="E26" i="47"/>
  <c r="E18" i="47"/>
  <c r="F24" i="47"/>
  <c r="F6" i="47"/>
  <c r="F30" i="47"/>
  <c r="F32" i="47"/>
  <c r="F9" i="47"/>
  <c r="F13" i="47"/>
  <c r="F28" i="47"/>
  <c r="F14" i="47"/>
  <c r="F10" i="47"/>
  <c r="F16" i="47"/>
  <c r="F5" i="47"/>
  <c r="F31" i="47"/>
  <c r="F21" i="47"/>
  <c r="F22" i="47"/>
  <c r="F3" i="47"/>
  <c r="F4" i="47"/>
  <c r="F7" i="47"/>
  <c r="F20" i="47"/>
  <c r="F29" i="47"/>
  <c r="F27" i="47"/>
  <c r="F33" i="47"/>
  <c r="F11" i="47"/>
  <c r="F8" i="47"/>
  <c r="F15" i="47"/>
  <c r="F12" i="47"/>
  <c r="F17" i="47"/>
  <c r="F19" i="47"/>
  <c r="F25" i="47"/>
  <c r="F23" i="47"/>
  <c r="F26" i="47"/>
  <c r="F18" i="47"/>
  <c r="F28" i="18"/>
  <c r="G3" i="18"/>
  <c r="G5" i="18"/>
  <c r="G4" i="18"/>
  <c r="G7" i="18"/>
  <c r="G6" i="18"/>
  <c r="G8" i="18"/>
  <c r="G9" i="18"/>
  <c r="G10" i="18"/>
  <c r="G11" i="18"/>
  <c r="G13" i="18"/>
  <c r="G15" i="18"/>
  <c r="G16" i="18"/>
  <c r="G21" i="18"/>
  <c r="G17" i="18"/>
  <c r="G12" i="18"/>
  <c r="G14" i="18"/>
  <c r="G19" i="18"/>
  <c r="G18" i="18"/>
  <c r="G20" i="18"/>
  <c r="G24" i="18"/>
  <c r="G23" i="18"/>
  <c r="G22" i="18"/>
  <c r="G26" i="18"/>
  <c r="G27" i="18"/>
  <c r="G25" i="18"/>
  <c r="G28" i="18"/>
  <c r="G30" i="18"/>
  <c r="G29" i="18"/>
  <c r="G4" i="30"/>
  <c r="G6" i="30"/>
  <c r="G5" i="30"/>
  <c r="G7" i="30"/>
  <c r="G8" i="30"/>
  <c r="G9" i="30"/>
  <c r="G11" i="30"/>
  <c r="G10" i="30"/>
  <c r="G13" i="30"/>
  <c r="G16" i="30"/>
  <c r="G12" i="30"/>
  <c r="G15" i="30"/>
  <c r="G14" i="30"/>
  <c r="G17" i="30"/>
  <c r="G18" i="30"/>
  <c r="G21" i="30"/>
  <c r="G19" i="30"/>
  <c r="G20" i="30"/>
  <c r="G22" i="30"/>
  <c r="G24" i="30"/>
  <c r="G29" i="30"/>
  <c r="G25" i="30"/>
  <c r="G23" i="30"/>
  <c r="G26" i="30"/>
  <c r="G27" i="30"/>
  <c r="G28" i="30"/>
  <c r="G30" i="30"/>
  <c r="G3" i="30"/>
  <c r="F2" i="29"/>
  <c r="F31" i="29"/>
  <c r="G4" i="29"/>
  <c r="G7" i="29"/>
  <c r="G5" i="29"/>
  <c r="G6" i="29"/>
  <c r="G8" i="29"/>
  <c r="G10" i="29"/>
  <c r="G9" i="29"/>
  <c r="G11" i="29"/>
  <c r="G14" i="29"/>
  <c r="G12" i="29"/>
  <c r="G13" i="29"/>
  <c r="G15" i="29"/>
  <c r="G16" i="29"/>
  <c r="G18" i="29"/>
  <c r="G17" i="29"/>
  <c r="G19" i="29"/>
  <c r="G20" i="29"/>
  <c r="G21" i="29"/>
  <c r="G22" i="29"/>
  <c r="G23" i="29"/>
  <c r="G24" i="29"/>
  <c r="G25" i="29"/>
  <c r="G29" i="29"/>
  <c r="G26" i="29"/>
  <c r="G27" i="29"/>
  <c r="G28" i="29"/>
  <c r="G30" i="29"/>
  <c r="G31" i="29"/>
  <c r="G3" i="29"/>
  <c r="G3" i="24"/>
  <c r="G8" i="24"/>
  <c r="G5" i="24"/>
  <c r="G6" i="24"/>
  <c r="G7" i="24"/>
  <c r="G9" i="24"/>
  <c r="G10" i="24"/>
  <c r="G11" i="24"/>
  <c r="G12" i="24"/>
  <c r="G13" i="24"/>
  <c r="G15" i="24"/>
  <c r="G14" i="24"/>
  <c r="G16" i="24"/>
  <c r="G17" i="24"/>
  <c r="G18" i="24"/>
  <c r="G19" i="24"/>
  <c r="G20" i="24"/>
  <c r="G21" i="24"/>
  <c r="G23" i="24"/>
  <c r="G22" i="24"/>
  <c r="G24" i="24"/>
  <c r="G25" i="24"/>
  <c r="G26" i="24"/>
  <c r="G27" i="24"/>
  <c r="G4" i="24"/>
  <c r="G4" i="25"/>
  <c r="G5" i="25"/>
  <c r="G6" i="25"/>
  <c r="G7" i="25"/>
  <c r="G8" i="25"/>
  <c r="G10" i="25"/>
  <c r="G9" i="25"/>
  <c r="G11" i="25"/>
  <c r="G13" i="25"/>
  <c r="G14" i="25"/>
  <c r="G12" i="25"/>
  <c r="G16" i="25"/>
  <c r="G15" i="25"/>
  <c r="G17" i="25"/>
  <c r="G18" i="25"/>
  <c r="G19" i="25"/>
  <c r="G20" i="25"/>
  <c r="G21" i="25"/>
  <c r="G23" i="25"/>
  <c r="G22" i="25"/>
  <c r="G24" i="25"/>
  <c r="G25" i="25"/>
  <c r="G26" i="25"/>
  <c r="G27" i="25"/>
  <c r="G28" i="25"/>
  <c r="G3" i="25"/>
  <c r="G4" i="36"/>
  <c r="G5" i="36"/>
  <c r="G6" i="36"/>
  <c r="G7" i="36"/>
  <c r="G8" i="36"/>
  <c r="G11" i="36"/>
  <c r="G9" i="36"/>
  <c r="G10" i="36"/>
  <c r="G12" i="36"/>
  <c r="G13" i="36"/>
  <c r="G14" i="36"/>
  <c r="G16" i="36"/>
  <c r="G15" i="36"/>
  <c r="G17" i="36"/>
  <c r="G18" i="36"/>
  <c r="G20" i="36"/>
  <c r="G19" i="36"/>
  <c r="G21" i="36"/>
  <c r="G23" i="36"/>
  <c r="G22" i="36"/>
  <c r="G24" i="36"/>
  <c r="G26" i="36"/>
  <c r="G25" i="36"/>
  <c r="G28" i="36"/>
  <c r="G3" i="36"/>
  <c r="G4" i="16"/>
  <c r="G7" i="16"/>
  <c r="G14" i="16"/>
  <c r="G6" i="16"/>
  <c r="G5" i="16"/>
  <c r="G9" i="16"/>
  <c r="G8" i="16"/>
  <c r="G10" i="16"/>
  <c r="G15" i="16"/>
  <c r="G11" i="16"/>
  <c r="G12" i="16"/>
  <c r="G16" i="16"/>
  <c r="G13" i="16"/>
  <c r="G17" i="16"/>
  <c r="G18" i="16"/>
  <c r="G22" i="16"/>
  <c r="G20" i="16"/>
  <c r="G27" i="16"/>
  <c r="G21" i="16"/>
  <c r="G19" i="16"/>
  <c r="G25" i="16"/>
  <c r="G26" i="16"/>
  <c r="G24" i="16"/>
  <c r="G23" i="16"/>
  <c r="G28" i="16"/>
  <c r="G29" i="16"/>
  <c r="G3" i="16"/>
  <c r="G3" i="17"/>
  <c r="G4" i="17"/>
  <c r="G7" i="17"/>
  <c r="G11" i="17"/>
  <c r="G5" i="17"/>
  <c r="G6" i="17"/>
  <c r="G9" i="17"/>
  <c r="G8" i="17"/>
  <c r="G10" i="17"/>
  <c r="G12" i="17"/>
  <c r="G13" i="17"/>
  <c r="G17" i="17"/>
  <c r="G16" i="17"/>
  <c r="G14" i="17"/>
  <c r="G15" i="17"/>
  <c r="G18" i="17"/>
  <c r="G19" i="17"/>
  <c r="G20" i="17"/>
  <c r="G21" i="17"/>
  <c r="G22" i="17"/>
  <c r="G23" i="17"/>
  <c r="G24" i="17"/>
  <c r="G25" i="17"/>
  <c r="G28" i="17"/>
  <c r="G27" i="17"/>
  <c r="G26" i="17"/>
  <c r="G29" i="17"/>
  <c r="G30" i="17"/>
  <c r="G31" i="17"/>
  <c r="G23" i="41" l="1"/>
  <c r="G3" i="41"/>
  <c r="G10" i="41"/>
  <c r="G4" i="41"/>
  <c r="G6" i="41"/>
  <c r="G5" i="41"/>
  <c r="G8" i="41"/>
  <c r="G11" i="41"/>
  <c r="G13" i="41"/>
  <c r="G9" i="41"/>
  <c r="G14" i="41"/>
  <c r="G7" i="41"/>
  <c r="G12" i="41"/>
  <c r="G19" i="41"/>
  <c r="G15" i="41"/>
  <c r="G17" i="41"/>
  <c r="G16" i="41"/>
  <c r="G20" i="41"/>
  <c r="G22" i="41"/>
  <c r="G21" i="41"/>
  <c r="G25" i="41"/>
  <c r="G28" i="41"/>
  <c r="G29" i="41"/>
  <c r="G26" i="41"/>
  <c r="G30" i="41"/>
  <c r="G27" i="41"/>
  <c r="G31" i="41"/>
  <c r="G4" i="13"/>
  <c r="G6" i="13"/>
  <c r="G8" i="13"/>
  <c r="G5" i="13"/>
  <c r="G7" i="13"/>
  <c r="G9" i="13"/>
  <c r="G3" i="13"/>
  <c r="G4" i="35"/>
  <c r="G7" i="35"/>
  <c r="G6" i="35"/>
  <c r="G5" i="35"/>
  <c r="G8" i="35"/>
  <c r="G10" i="35"/>
  <c r="G9" i="35"/>
  <c r="G11" i="35"/>
  <c r="G12" i="35"/>
  <c r="G14" i="35"/>
  <c r="G13" i="35"/>
  <c r="G15" i="35"/>
  <c r="G16" i="35"/>
  <c r="G17" i="35"/>
  <c r="G3" i="35"/>
  <c r="F3" i="11"/>
  <c r="G4" i="11"/>
  <c r="G3" i="11"/>
  <c r="G6" i="11"/>
  <c r="G9" i="11"/>
  <c r="G7" i="11"/>
  <c r="G11" i="11"/>
  <c r="G8" i="11"/>
  <c r="G12" i="11"/>
  <c r="G10" i="11"/>
  <c r="G14" i="11"/>
  <c r="G13" i="11"/>
  <c r="G15" i="11"/>
  <c r="G16" i="11"/>
  <c r="G17" i="11"/>
  <c r="G18" i="11"/>
  <c r="G20" i="11"/>
  <c r="G19" i="11"/>
  <c r="G21" i="11"/>
  <c r="G24" i="11"/>
  <c r="G22" i="11"/>
  <c r="G26" i="11"/>
  <c r="G23" i="11"/>
  <c r="G25" i="11"/>
  <c r="G27" i="11"/>
  <c r="G5" i="11"/>
  <c r="G3" i="31"/>
  <c r="G7" i="31"/>
  <c r="G8" i="31"/>
  <c r="G5" i="31"/>
  <c r="G6" i="31"/>
  <c r="G9" i="31"/>
  <c r="G11" i="31"/>
  <c r="G10" i="31"/>
  <c r="G12" i="31"/>
  <c r="G13" i="31"/>
  <c r="G14" i="31"/>
  <c r="G15" i="31"/>
  <c r="G23" i="31"/>
  <c r="G16" i="31"/>
  <c r="G21" i="31"/>
  <c r="G19" i="31"/>
  <c r="G17" i="31"/>
  <c r="G18" i="31"/>
  <c r="G24" i="31"/>
  <c r="G20" i="31"/>
  <c r="G25" i="31"/>
  <c r="G22" i="31"/>
  <c r="G26" i="31"/>
  <c r="G27" i="31"/>
  <c r="G4" i="31"/>
  <c r="G5" i="28"/>
  <c r="G4" i="28"/>
  <c r="G6" i="28"/>
  <c r="G7" i="28"/>
  <c r="G10" i="28"/>
  <c r="G8" i="28"/>
  <c r="G9" i="28"/>
  <c r="G12" i="28"/>
  <c r="G11" i="28"/>
  <c r="G13" i="28"/>
  <c r="G14" i="28"/>
  <c r="G16" i="28"/>
  <c r="G15" i="28"/>
  <c r="G17" i="28"/>
  <c r="G18" i="28"/>
  <c r="G19" i="28"/>
  <c r="G20" i="28"/>
  <c r="G21" i="28"/>
  <c r="G3" i="28"/>
  <c r="G4" i="14"/>
  <c r="G3" i="14"/>
  <c r="G6" i="14"/>
  <c r="G5" i="14"/>
  <c r="G7" i="14"/>
  <c r="G8" i="14"/>
  <c r="G10" i="14"/>
  <c r="G9" i="14"/>
  <c r="G11" i="14"/>
  <c r="G12" i="14"/>
  <c r="G13" i="14"/>
  <c r="G14" i="14"/>
  <c r="G15" i="14"/>
  <c r="G16" i="14"/>
  <c r="G20" i="14"/>
  <c r="G18" i="14"/>
  <c r="G17" i="14"/>
  <c r="G24" i="14"/>
  <c r="G22" i="14"/>
  <c r="G21" i="14"/>
  <c r="G25" i="14"/>
  <c r="G23" i="14"/>
  <c r="G26" i="14"/>
  <c r="G28" i="14"/>
  <c r="G27" i="14"/>
  <c r="G19" i="14"/>
  <c r="G4" i="34" l="1"/>
  <c r="G5" i="34"/>
  <c r="G7" i="34"/>
  <c r="G6" i="34"/>
  <c r="G9" i="34"/>
  <c r="G8" i="34"/>
  <c r="G10" i="34"/>
  <c r="G11" i="34"/>
  <c r="G12" i="34"/>
  <c r="G13" i="34"/>
  <c r="G14" i="34"/>
  <c r="G16" i="34"/>
  <c r="G15" i="34"/>
  <c r="G17" i="34"/>
  <c r="G18" i="34"/>
  <c r="G2" i="34"/>
  <c r="G3" i="34"/>
  <c r="G4" i="33"/>
  <c r="G5" i="33"/>
  <c r="G7" i="33"/>
  <c r="G6" i="33"/>
  <c r="G9" i="33"/>
  <c r="G8" i="33"/>
  <c r="G10" i="33"/>
  <c r="G12" i="33"/>
  <c r="G13" i="33"/>
  <c r="G11" i="33"/>
  <c r="G14" i="33"/>
  <c r="G15" i="33"/>
  <c r="G16" i="33"/>
  <c r="G18" i="33"/>
  <c r="G17" i="33"/>
  <c r="G19" i="33"/>
  <c r="G20" i="33"/>
  <c r="G21" i="33"/>
  <c r="G23" i="33"/>
  <c r="G22" i="33"/>
  <c r="G25" i="33"/>
  <c r="G24" i="33"/>
  <c r="G26" i="33"/>
  <c r="G27" i="33"/>
  <c r="G29" i="33"/>
  <c r="G28" i="33"/>
  <c r="G2" i="33"/>
  <c r="G3" i="33"/>
  <c r="G7" i="22"/>
  <c r="G6" i="22"/>
  <c r="G4" i="22"/>
  <c r="G8" i="22"/>
  <c r="G5" i="22"/>
  <c r="G9" i="22"/>
  <c r="G11" i="22"/>
  <c r="G10" i="22"/>
  <c r="G12" i="22"/>
  <c r="G13" i="22"/>
  <c r="G14" i="22"/>
  <c r="G16" i="22"/>
  <c r="G15" i="22"/>
  <c r="G19" i="22"/>
  <c r="G18" i="22"/>
  <c r="G17" i="22"/>
  <c r="G21" i="22"/>
  <c r="G20" i="22"/>
  <c r="G22" i="22"/>
  <c r="G23" i="22"/>
  <c r="G24" i="22"/>
  <c r="G2" i="22"/>
  <c r="G3" i="22"/>
  <c r="G22" i="23"/>
  <c r="G19" i="23"/>
  <c r="G18" i="23"/>
  <c r="G26" i="23"/>
  <c r="G23" i="23"/>
  <c r="G17" i="23"/>
  <c r="G21" i="23"/>
  <c r="G16" i="23"/>
  <c r="G25" i="23"/>
  <c r="G24" i="23"/>
  <c r="G27" i="23"/>
  <c r="G9" i="23"/>
  <c r="G15" i="23"/>
  <c r="G13" i="23"/>
  <c r="G20" i="23"/>
  <c r="G14" i="23"/>
  <c r="G12" i="23"/>
  <c r="G2" i="23"/>
  <c r="G7" i="23"/>
  <c r="G10" i="23"/>
  <c r="G8" i="23"/>
  <c r="G6" i="23"/>
  <c r="G11" i="23"/>
  <c r="G5" i="23"/>
  <c r="G4" i="23"/>
  <c r="G3" i="23"/>
  <c r="G28" i="23"/>
  <c r="G28" i="19"/>
  <c r="G25" i="19"/>
  <c r="G30" i="19"/>
  <c r="G27" i="19"/>
  <c r="G19" i="19"/>
  <c r="G14" i="19"/>
  <c r="G11" i="19"/>
  <c r="G20" i="19"/>
  <c r="G16" i="19"/>
  <c r="G22" i="19"/>
  <c r="G15" i="19"/>
  <c r="G12" i="19"/>
  <c r="G23" i="19"/>
  <c r="G24" i="19"/>
  <c r="G26" i="19"/>
  <c r="G29" i="19"/>
  <c r="G2" i="19"/>
  <c r="G18" i="19"/>
  <c r="G10" i="19"/>
  <c r="G13" i="19"/>
  <c r="G17" i="19"/>
  <c r="G9" i="19"/>
  <c r="G7" i="19"/>
  <c r="G6" i="19"/>
  <c r="G3" i="19"/>
  <c r="G5" i="19"/>
  <c r="G4" i="19"/>
  <c r="G8" i="19"/>
  <c r="G21" i="19"/>
  <c r="G30" i="37"/>
  <c r="G18" i="37"/>
  <c r="G27" i="37"/>
  <c r="G29" i="37"/>
  <c r="G17" i="37"/>
  <c r="G25" i="37"/>
  <c r="G19" i="37"/>
  <c r="G22" i="37"/>
  <c r="G11" i="37"/>
  <c r="G12" i="37"/>
  <c r="G14" i="37"/>
  <c r="G16" i="37"/>
  <c r="G31" i="37"/>
  <c r="G20" i="37"/>
  <c r="G23" i="37"/>
  <c r="G26" i="37"/>
  <c r="G15" i="37"/>
  <c r="G2" i="37"/>
  <c r="G28" i="37"/>
  <c r="G10" i="37"/>
  <c r="G9" i="37"/>
  <c r="G21" i="37"/>
  <c r="G5" i="37"/>
  <c r="G8" i="37"/>
  <c r="G13" i="37"/>
  <c r="G24" i="37"/>
  <c r="G4" i="37"/>
  <c r="G7" i="37"/>
  <c r="G6" i="37"/>
  <c r="G3" i="37"/>
  <c r="G32" i="37"/>
  <c r="G26" i="42"/>
  <c r="G28" i="42"/>
  <c r="G20" i="42"/>
  <c r="G18" i="42"/>
  <c r="G31" i="42"/>
  <c r="G22" i="42"/>
  <c r="G23" i="42"/>
  <c r="G16" i="42"/>
  <c r="G19" i="42"/>
  <c r="G12" i="42"/>
  <c r="G13" i="42"/>
  <c r="G14" i="42"/>
  <c r="G30" i="42"/>
  <c r="G25" i="42"/>
  <c r="G21" i="42"/>
  <c r="G2" i="42"/>
  <c r="G15" i="42"/>
  <c r="G17" i="42"/>
  <c r="G11" i="42"/>
  <c r="G29" i="42"/>
  <c r="G7" i="42"/>
  <c r="G5" i="42"/>
  <c r="G9" i="42"/>
  <c r="G6" i="42"/>
  <c r="G3" i="42"/>
  <c r="G4" i="42"/>
  <c r="G8" i="42"/>
  <c r="G10" i="42"/>
  <c r="G24" i="42"/>
  <c r="G23" i="12"/>
  <c r="G28" i="12"/>
  <c r="G30" i="12"/>
  <c r="G25" i="12"/>
  <c r="G16" i="12"/>
  <c r="G19" i="12"/>
  <c r="G7" i="12"/>
  <c r="G18" i="12"/>
  <c r="G10" i="12"/>
  <c r="G22" i="12"/>
  <c r="G24" i="12"/>
  <c r="G17" i="12"/>
  <c r="G26" i="12"/>
  <c r="G13" i="12"/>
  <c r="G29" i="12"/>
  <c r="G4" i="12"/>
  <c r="G2" i="12"/>
  <c r="G14" i="12"/>
  <c r="G15" i="12"/>
  <c r="G27" i="12"/>
  <c r="G9" i="12"/>
  <c r="G5" i="12"/>
  <c r="G3" i="12"/>
  <c r="G11" i="12"/>
  <c r="G21" i="12"/>
  <c r="G8" i="12"/>
  <c r="G6" i="12"/>
  <c r="G12" i="12"/>
  <c r="G20" i="12"/>
  <c r="F2" i="12"/>
  <c r="F30" i="12"/>
  <c r="F4" i="42" l="1"/>
  <c r="F22" i="42"/>
  <c r="F17" i="42"/>
  <c r="F29" i="42"/>
  <c r="F21" i="42"/>
  <c r="F27" i="42"/>
  <c r="F25" i="42"/>
  <c r="F16" i="42"/>
  <c r="F15" i="42"/>
  <c r="F10" i="42"/>
  <c r="F31" i="42"/>
  <c r="F14" i="42"/>
  <c r="F26" i="42"/>
  <c r="F23" i="42"/>
  <c r="F13" i="42"/>
  <c r="F30" i="42"/>
  <c r="F12" i="42"/>
  <c r="F24" i="42"/>
  <c r="F28" i="42"/>
  <c r="F6" i="42"/>
  <c r="F11" i="42"/>
  <c r="F3" i="42"/>
  <c r="F18" i="42"/>
  <c r="F7" i="42"/>
  <c r="F8" i="42"/>
  <c r="F19" i="42"/>
  <c r="F9" i="42"/>
  <c r="F20" i="42"/>
  <c r="F5" i="42"/>
  <c r="F25" i="19"/>
  <c r="F12" i="19"/>
  <c r="F20" i="19"/>
  <c r="F19" i="19"/>
  <c r="F15" i="19"/>
  <c r="F11" i="19"/>
  <c r="F28" i="19"/>
  <c r="F21" i="19"/>
  <c r="F10" i="19"/>
  <c r="F22" i="19"/>
  <c r="F17" i="19"/>
  <c r="F23" i="19"/>
  <c r="F24" i="19"/>
  <c r="F26" i="19"/>
  <c r="F16" i="19"/>
  <c r="F27" i="19"/>
  <c r="F13" i="19"/>
  <c r="F4" i="19"/>
  <c r="F6" i="19"/>
  <c r="F3" i="19"/>
  <c r="F8" i="19"/>
  <c r="F14" i="19"/>
  <c r="F29" i="19"/>
  <c r="F5" i="19"/>
  <c r="F18" i="19"/>
  <c r="F9" i="19"/>
  <c r="F25" i="37"/>
  <c r="F12" i="37"/>
  <c r="F14" i="37"/>
  <c r="F16" i="37"/>
  <c r="F22" i="37"/>
  <c r="F17" i="37"/>
  <c r="F27" i="37"/>
  <c r="F32" i="37"/>
  <c r="F30" i="37"/>
  <c r="F31" i="37"/>
  <c r="F28" i="37"/>
  <c r="F15" i="37"/>
  <c r="F21" i="37"/>
  <c r="F19" i="37"/>
  <c r="F23" i="37"/>
  <c r="F26" i="37"/>
  <c r="F7" i="37"/>
  <c r="F16" i="23"/>
  <c r="F25" i="23"/>
  <c r="F13" i="23"/>
  <c r="F24" i="23"/>
  <c r="F21" i="23"/>
  <c r="F12" i="23"/>
  <c r="F15" i="23"/>
  <c r="F23" i="23"/>
  <c r="F14" i="23"/>
  <c r="F11" i="23"/>
  <c r="F27" i="23"/>
  <c r="F20" i="23"/>
  <c r="F22" i="23"/>
  <c r="F17" i="23"/>
  <c r="F28" i="23"/>
  <c r="F9" i="23"/>
  <c r="F8" i="23"/>
  <c r="F10" i="23"/>
  <c r="F19" i="23"/>
  <c r="F7" i="23"/>
  <c r="F4" i="23"/>
  <c r="F18" i="23"/>
  <c r="F6" i="23"/>
  <c r="F5" i="23"/>
  <c r="F14" i="22"/>
  <c r="F20" i="22"/>
  <c r="F9" i="22"/>
  <c r="F21" i="22"/>
  <c r="F22" i="22"/>
  <c r="F11" i="22"/>
  <c r="F19" i="22"/>
  <c r="F23" i="22"/>
  <c r="F10" i="22"/>
  <c r="F24" i="22"/>
  <c r="F15" i="22"/>
  <c r="F17" i="22"/>
  <c r="F13" i="22"/>
  <c r="F8" i="22"/>
  <c r="F16" i="22"/>
  <c r="F12" i="22"/>
  <c r="F4" i="22"/>
  <c r="F6" i="22"/>
  <c r="F3" i="22"/>
  <c r="F7" i="22"/>
  <c r="F12" i="33"/>
  <c r="F27" i="33"/>
  <c r="F14" i="33"/>
  <c r="F16" i="33"/>
  <c r="F18" i="33"/>
  <c r="F17" i="33"/>
  <c r="F25" i="33"/>
  <c r="F23" i="33"/>
  <c r="F20" i="33"/>
  <c r="F26" i="33"/>
  <c r="F11" i="33"/>
  <c r="F21" i="33"/>
  <c r="F28" i="33"/>
  <c r="F10" i="33"/>
  <c r="F15" i="33"/>
  <c r="F29" i="33"/>
  <c r="F22" i="33"/>
  <c r="F13" i="33"/>
  <c r="F9" i="33"/>
  <c r="F4" i="33"/>
  <c r="F8" i="33"/>
  <c r="F5" i="33"/>
  <c r="F3" i="33"/>
  <c r="F7" i="33"/>
  <c r="F19" i="33"/>
  <c r="F16" i="34"/>
  <c r="F14" i="34"/>
  <c r="F11" i="34"/>
  <c r="F12" i="34"/>
  <c r="F17" i="34"/>
  <c r="F4" i="34"/>
  <c r="F3" i="34"/>
  <c r="F9" i="34"/>
  <c r="F18" i="34"/>
  <c r="F7" i="34"/>
  <c r="F5" i="34"/>
  <c r="F6" i="34"/>
  <c r="F13" i="34"/>
  <c r="F15" i="34"/>
  <c r="F8" i="34"/>
  <c r="F10" i="34"/>
  <c r="F10" i="14"/>
  <c r="F17" i="14"/>
  <c r="F15" i="14"/>
  <c r="F22" i="14"/>
  <c r="F23" i="14"/>
  <c r="F16" i="14"/>
  <c r="F11" i="14"/>
  <c r="F21" i="14"/>
  <c r="F9" i="14"/>
  <c r="F20" i="14"/>
  <c r="F27" i="14"/>
  <c r="F3" i="14"/>
  <c r="F18" i="14"/>
  <c r="F26" i="14"/>
  <c r="F28" i="14"/>
  <c r="F24" i="14"/>
  <c r="F19" i="14"/>
  <c r="F4" i="14"/>
  <c r="F7" i="14"/>
  <c r="F6" i="14"/>
  <c r="F8" i="14"/>
  <c r="F14" i="14"/>
  <c r="F13" i="14"/>
  <c r="F5" i="14"/>
  <c r="F19" i="28"/>
  <c r="F9" i="28"/>
  <c r="F18" i="28"/>
  <c r="F14" i="28"/>
  <c r="F20" i="28"/>
  <c r="F12" i="28"/>
  <c r="F16" i="28"/>
  <c r="F21" i="28"/>
  <c r="F17" i="28"/>
  <c r="F8" i="28"/>
  <c r="F7" i="28"/>
  <c r="F6" i="28"/>
  <c r="F3" i="28"/>
  <c r="F5" i="28"/>
  <c r="F11" i="28"/>
  <c r="F15" i="28"/>
  <c r="F13" i="28"/>
  <c r="F4" i="28"/>
  <c r="F14" i="31"/>
  <c r="F20" i="31"/>
  <c r="F19" i="31"/>
  <c r="F10" i="31"/>
  <c r="F27" i="31"/>
  <c r="F26" i="31"/>
  <c r="F17" i="31"/>
  <c r="F5" i="31"/>
  <c r="F11" i="31"/>
  <c r="F7" i="31"/>
  <c r="F12" i="31"/>
  <c r="F8" i="31"/>
  <c r="F23" i="31"/>
  <c r="F3" i="31"/>
  <c r="F4" i="31"/>
  <c r="F24" i="31"/>
  <c r="F6" i="31"/>
  <c r="F22" i="31"/>
  <c r="F13" i="31"/>
  <c r="F16" i="31"/>
  <c r="F15" i="31"/>
  <c r="F25" i="31"/>
  <c r="F9" i="31"/>
  <c r="F18" i="31"/>
  <c r="F12" i="35"/>
  <c r="F11" i="35"/>
  <c r="F13" i="35"/>
  <c r="F16" i="35"/>
  <c r="F15" i="35"/>
  <c r="F17" i="35"/>
  <c r="F9" i="35"/>
  <c r="F9" i="13"/>
  <c r="F7" i="13"/>
  <c r="F8" i="13"/>
  <c r="F6" i="13"/>
  <c r="F5" i="13"/>
  <c r="F4" i="13"/>
  <c r="F3" i="13"/>
  <c r="F25" i="41"/>
  <c r="F28" i="41"/>
  <c r="F9" i="41"/>
  <c r="F10" i="41"/>
  <c r="F29" i="41"/>
  <c r="F18" i="41"/>
  <c r="F14" i="41"/>
  <c r="F19" i="41"/>
  <c r="F7" i="41"/>
  <c r="F27" i="41"/>
  <c r="F8" i="41"/>
  <c r="F12" i="41"/>
  <c r="F13" i="41"/>
  <c r="F15" i="41"/>
  <c r="F11" i="41"/>
  <c r="F5" i="41"/>
  <c r="F3" i="41"/>
  <c r="F4" i="41"/>
  <c r="F6" i="41"/>
  <c r="F20" i="41"/>
  <c r="F16" i="41"/>
  <c r="F22" i="41"/>
  <c r="F21" i="41"/>
  <c r="F23" i="41"/>
  <c r="F30" i="41"/>
  <c r="F17" i="41"/>
  <c r="F31" i="41"/>
  <c r="F26" i="41"/>
  <c r="F22" i="17"/>
  <c r="F27" i="17"/>
  <c r="F17" i="17"/>
  <c r="F28" i="17"/>
  <c r="F21" i="17"/>
  <c r="F23" i="17"/>
  <c r="F31" i="17"/>
  <c r="F18" i="17"/>
  <c r="F30" i="17"/>
  <c r="F10" i="17"/>
  <c r="F29" i="17"/>
  <c r="F26" i="17"/>
  <c r="F6" i="17"/>
  <c r="F5" i="17"/>
  <c r="F24" i="17"/>
  <c r="F20" i="17"/>
  <c r="F13" i="17"/>
  <c r="F15" i="17"/>
  <c r="F8" i="17"/>
  <c r="F25" i="17"/>
  <c r="F4" i="17"/>
  <c r="F19" i="17"/>
  <c r="F14" i="17"/>
  <c r="F16" i="17"/>
  <c r="F11" i="17"/>
  <c r="F12" i="17"/>
  <c r="F3" i="17"/>
  <c r="F7" i="17"/>
  <c r="F9" i="17"/>
  <c r="F24" i="16"/>
  <c r="F27" i="16"/>
  <c r="F23" i="16"/>
  <c r="F13" i="16"/>
  <c r="F25" i="16"/>
  <c r="F28" i="16"/>
  <c r="F19" i="16"/>
  <c r="F20" i="16"/>
  <c r="F9" i="16"/>
  <c r="F21" i="16"/>
  <c r="F5" i="16"/>
  <c r="F6" i="16"/>
  <c r="F16" i="16"/>
  <c r="F22" i="16"/>
  <c r="F4" i="16"/>
  <c r="F18" i="16"/>
  <c r="F12" i="16"/>
  <c r="F8" i="16"/>
  <c r="F26" i="16"/>
  <c r="F29" i="16"/>
  <c r="F15" i="16"/>
  <c r="F10" i="16"/>
  <c r="F3" i="16"/>
  <c r="F7" i="16"/>
  <c r="F17" i="16"/>
  <c r="F14" i="16"/>
  <c r="F11" i="16"/>
  <c r="F18" i="36"/>
  <c r="F10" i="36"/>
  <c r="F19" i="36"/>
  <c r="F8" i="25"/>
  <c r="F7" i="25"/>
  <c r="F24" i="25"/>
  <c r="F16" i="25"/>
  <c r="F9" i="25"/>
  <c r="F15" i="25"/>
  <c r="F11" i="25"/>
  <c r="F4" i="25"/>
  <c r="F17" i="25"/>
  <c r="F12" i="25"/>
  <c r="F19" i="25"/>
  <c r="F10" i="25"/>
  <c r="F14" i="25"/>
  <c r="F3" i="25"/>
  <c r="F5" i="25"/>
  <c r="F13" i="25"/>
  <c r="F28" i="25"/>
  <c r="F21" i="25"/>
  <c r="F22" i="25"/>
  <c r="F23" i="25"/>
  <c r="F26" i="25"/>
  <c r="F20" i="25"/>
  <c r="F18" i="25"/>
  <c r="F27" i="25"/>
  <c r="F6" i="25"/>
  <c r="F25" i="25"/>
  <c r="F6" i="24"/>
  <c r="F7" i="24"/>
  <c r="F22" i="24"/>
  <c r="F13" i="24"/>
  <c r="F9" i="24"/>
  <c r="F16" i="24"/>
  <c r="F15" i="24"/>
  <c r="F3" i="24"/>
  <c r="F18" i="24"/>
  <c r="F24" i="24"/>
  <c r="F14" i="24"/>
  <c r="F19" i="24"/>
  <c r="F10" i="24"/>
  <c r="F12" i="24"/>
  <c r="F4" i="24"/>
  <c r="F5" i="24"/>
  <c r="F11" i="24"/>
  <c r="F27" i="24"/>
  <c r="F21" i="24"/>
  <c r="F23" i="24"/>
  <c r="F20" i="24"/>
  <c r="F17" i="24"/>
  <c r="F26" i="24"/>
  <c r="F8" i="24"/>
  <c r="F25" i="24"/>
  <c r="F20" i="29"/>
  <c r="F25" i="29"/>
  <c r="F11" i="29"/>
  <c r="F26" i="29"/>
  <c r="F22" i="29"/>
  <c r="F23" i="29"/>
  <c r="F19" i="29"/>
  <c r="F18" i="29"/>
  <c r="F29" i="29"/>
  <c r="F28" i="29"/>
  <c r="F24" i="29"/>
  <c r="F30" i="29"/>
  <c r="F14" i="29"/>
  <c r="F6" i="29"/>
  <c r="F15" i="29"/>
  <c r="F7" i="29"/>
  <c r="F5" i="29"/>
  <c r="F12" i="29"/>
  <c r="F27" i="29"/>
  <c r="F4" i="29"/>
  <c r="F17" i="29"/>
  <c r="F8" i="29"/>
  <c r="F21" i="29"/>
  <c r="F10" i="29" l="1"/>
  <c r="F16" i="29"/>
  <c r="F3" i="29"/>
  <c r="F9" i="29"/>
  <c r="F13" i="29"/>
  <c r="F23" i="30"/>
  <c r="F19" i="30"/>
  <c r="F29" i="30"/>
  <c r="F13" i="30"/>
  <c r="F22" i="30"/>
  <c r="F24" i="30"/>
  <c r="F21" i="30"/>
  <c r="F28" i="30"/>
  <c r="F17" i="30"/>
  <c r="F27" i="30"/>
  <c r="F30" i="30"/>
  <c r="F25" i="30"/>
  <c r="F6" i="30"/>
  <c r="F5" i="30"/>
  <c r="F26" i="30"/>
  <c r="F15" i="30"/>
  <c r="F12" i="30"/>
  <c r="F8" i="30"/>
  <c r="F14" i="30"/>
  <c r="F4" i="30"/>
  <c r="F18" i="30"/>
  <c r="F7" i="30"/>
  <c r="F20" i="30"/>
  <c r="F10" i="30"/>
  <c r="F11" i="30"/>
  <c r="F3" i="30"/>
  <c r="F9" i="30"/>
  <c r="F16" i="30"/>
  <c r="F22" i="18"/>
  <c r="F24" i="18"/>
  <c r="F17" i="18"/>
  <c r="F29" i="18"/>
  <c r="F25" i="18"/>
  <c r="F23" i="18"/>
  <c r="F30" i="18"/>
  <c r="F19" i="18"/>
  <c r="F16" i="18"/>
  <c r="F11" i="18"/>
  <c r="F6" i="18"/>
  <c r="F8" i="18"/>
  <c r="F20" i="18"/>
  <c r="F12" i="18"/>
  <c r="F21" i="18"/>
  <c r="F7" i="18"/>
  <c r="F27" i="18"/>
  <c r="F14" i="18"/>
  <c r="F26" i="18"/>
  <c r="F4" i="18"/>
  <c r="F18" i="18"/>
  <c r="F15" i="18"/>
  <c r="F9" i="18"/>
  <c r="F13" i="18"/>
  <c r="F10" i="18"/>
  <c r="F5" i="18"/>
  <c r="F3" i="18"/>
  <c r="F20" i="37"/>
  <c r="F18" i="37"/>
  <c r="F9" i="37"/>
  <c r="F11" i="37"/>
  <c r="F5" i="37"/>
  <c r="F3" i="37"/>
  <c r="F10" i="37"/>
  <c r="F8" i="37"/>
  <c r="F24" i="12"/>
  <c r="F8" i="12"/>
  <c r="F12" i="12"/>
  <c r="F21" i="12"/>
  <c r="F14" i="12"/>
  <c r="F22" i="12"/>
  <c r="F4" i="12"/>
  <c r="F25" i="12"/>
  <c r="F23" i="12"/>
  <c r="F18" i="12"/>
  <c r="F16" i="12"/>
  <c r="F13" i="12"/>
  <c r="F27" i="12"/>
  <c r="F29" i="12"/>
  <c r="F15" i="12"/>
  <c r="F28" i="12"/>
  <c r="F6" i="12"/>
  <c r="F20" i="12"/>
  <c r="F9" i="12"/>
  <c r="F3" i="12"/>
  <c r="F19" i="12"/>
  <c r="F7" i="12"/>
  <c r="F17" i="12"/>
  <c r="F11" i="12"/>
  <c r="F10" i="12"/>
  <c r="F5" i="12"/>
  <c r="F12" i="36"/>
  <c r="F11" i="36"/>
  <c r="F24" i="11"/>
  <c r="F19" i="11"/>
  <c r="F10" i="28"/>
  <c r="F12" i="14"/>
  <c r="F6" i="33"/>
  <c r="F5" i="22"/>
  <c r="F3" i="23"/>
  <c r="F4" i="37" l="1"/>
  <c r="F14" i="35"/>
  <c r="F7" i="35" l="1"/>
  <c r="F10" i="35"/>
  <c r="F8" i="35"/>
  <c r="F6" i="35"/>
  <c r="F4" i="35"/>
  <c r="F3" i="35"/>
  <c r="F5" i="35"/>
  <c r="F4" i="36"/>
  <c r="F3" i="36"/>
  <c r="F8" i="36"/>
  <c r="F13" i="36"/>
  <c r="F21" i="36"/>
  <c r="F22" i="36"/>
  <c r="F16" i="36"/>
  <c r="F25" i="36"/>
  <c r="F23" i="36"/>
  <c r="F20" i="36"/>
  <c r="F28" i="36"/>
  <c r="F5" i="36"/>
  <c r="F26" i="36"/>
  <c r="F7" i="36"/>
  <c r="F6" i="36"/>
  <c r="F17" i="36"/>
  <c r="F24" i="36"/>
  <c r="F9" i="36"/>
  <c r="F14" i="36"/>
  <c r="F15" i="36"/>
  <c r="E29" i="36"/>
  <c r="E27" i="36"/>
  <c r="F27" i="36"/>
  <c r="F29" i="36"/>
  <c r="F22" i="11"/>
  <c r="F18" i="11"/>
  <c r="F12" i="11"/>
  <c r="F14" i="11"/>
  <c r="F7" i="11"/>
  <c r="F10" i="11"/>
  <c r="F21" i="11"/>
  <c r="F23" i="11"/>
  <c r="F25" i="11"/>
  <c r="F9" i="11"/>
  <c r="F4" i="11"/>
  <c r="F26" i="11"/>
  <c r="F17" i="11"/>
  <c r="F5" i="11"/>
  <c r="F15" i="11"/>
  <c r="F11" i="11"/>
  <c r="F13" i="11"/>
  <c r="F16" i="11"/>
  <c r="F8" i="11"/>
  <c r="F6" i="11"/>
  <c r="F27" i="11"/>
  <c r="F20" i="11"/>
  <c r="G27" i="36" l="1"/>
  <c r="H27" i="36"/>
  <c r="G29" i="36"/>
  <c r="H29" i="36"/>
</calcChain>
</file>

<file path=xl/sharedStrings.xml><?xml version="1.0" encoding="utf-8"?>
<sst xmlns="http://schemas.openxmlformats.org/spreadsheetml/2006/main" count="1411" uniqueCount="160">
  <si>
    <t>STORE</t>
  </si>
  <si>
    <t>ITEM</t>
  </si>
  <si>
    <t>TEST_COUNT</t>
  </si>
  <si>
    <t>TOTAL_REVENUE</t>
  </si>
  <si>
    <t>TOTAL_COST</t>
  </si>
  <si>
    <t>TEST_COST</t>
  </si>
  <si>
    <t>جنين - المستشفيات</t>
  </si>
  <si>
    <t>MS</t>
  </si>
  <si>
    <t>MJ</t>
  </si>
  <si>
    <t>MK</t>
  </si>
  <si>
    <t>TSH - Archetict</t>
  </si>
  <si>
    <t>MD</t>
  </si>
  <si>
    <t>MM</t>
  </si>
  <si>
    <t>MR</t>
  </si>
  <si>
    <t>B-HCG Architect</t>
  </si>
  <si>
    <t>MH</t>
  </si>
  <si>
    <t>MT</t>
  </si>
  <si>
    <t>ML</t>
  </si>
  <si>
    <t>فرع الخليل - عين سارة</t>
  </si>
  <si>
    <t>MW</t>
  </si>
  <si>
    <t>MX</t>
  </si>
  <si>
    <t>فرع جنين - البيادر</t>
  </si>
  <si>
    <t>MB</t>
  </si>
  <si>
    <t>Vitamin D ARC</t>
  </si>
  <si>
    <t>MN</t>
  </si>
  <si>
    <t>HDL - Abbott</t>
  </si>
  <si>
    <t>Cholesterol - Abbott</t>
  </si>
  <si>
    <t>Triglyceride - Abbott</t>
  </si>
  <si>
    <t>LDL - Abbott</t>
  </si>
  <si>
    <t>Creatinine - Abbott</t>
  </si>
  <si>
    <t>Ferritin Architect</t>
  </si>
  <si>
    <t>MP</t>
  </si>
  <si>
    <t>FSH Architect</t>
  </si>
  <si>
    <t>FT3 Architect</t>
  </si>
  <si>
    <t>FT4 Architect</t>
  </si>
  <si>
    <t>MU</t>
  </si>
  <si>
    <t>LH Architect</t>
  </si>
  <si>
    <t>PSA Architect</t>
  </si>
  <si>
    <t>Testosterone Architect</t>
  </si>
  <si>
    <t>MQ</t>
  </si>
  <si>
    <t>MY</t>
  </si>
  <si>
    <t>فرع حلحول</t>
  </si>
  <si>
    <t>MO</t>
  </si>
  <si>
    <t>MF</t>
  </si>
  <si>
    <t>MZ</t>
  </si>
  <si>
    <t>BHCG Tosho</t>
  </si>
  <si>
    <t>FSH Tosho</t>
  </si>
  <si>
    <t>MI</t>
  </si>
  <si>
    <t>FT3 Tosho</t>
  </si>
  <si>
    <t>FT4 Tosho</t>
  </si>
  <si>
    <t>MG</t>
  </si>
  <si>
    <t>LH Tosho</t>
  </si>
  <si>
    <t>فرع سلفيت 2</t>
  </si>
  <si>
    <t>Prolactin Tosho</t>
  </si>
  <si>
    <t>MC</t>
  </si>
  <si>
    <t>طولكرم المحاكم</t>
  </si>
  <si>
    <t>TSH Tosho</t>
  </si>
  <si>
    <t>Ferritin tosho</t>
  </si>
  <si>
    <t>B12 Tosoh</t>
  </si>
  <si>
    <t>فرع الارسال - المصايف</t>
  </si>
  <si>
    <t>PSA tosoh</t>
  </si>
  <si>
    <t>Testosterone tosoh</t>
  </si>
  <si>
    <t>BHCG Vidas</t>
  </si>
  <si>
    <t>FSH Vidas</t>
  </si>
  <si>
    <t>FT4 Vidas</t>
  </si>
  <si>
    <t>LH Vidas</t>
  </si>
  <si>
    <t>Prolactin Vidas</t>
  </si>
  <si>
    <t>Ferritin  vidas</t>
  </si>
  <si>
    <t>HBs Ag - vidas</t>
  </si>
  <si>
    <t>Vitamin D vidas</t>
  </si>
  <si>
    <t>Creatinine - Roche</t>
  </si>
  <si>
    <t>Glucose - Roche</t>
  </si>
  <si>
    <t>GOT (AST) - Roche</t>
  </si>
  <si>
    <t>Cholesterol - Roche</t>
  </si>
  <si>
    <t>فرع البيرة</t>
  </si>
  <si>
    <t>HDL - Roche</t>
  </si>
  <si>
    <t>LDL - Roche</t>
  </si>
  <si>
    <t>Glucose - Abbott</t>
  </si>
  <si>
    <t>CRP - Abbott</t>
  </si>
  <si>
    <t>PSA COBAS</t>
  </si>
  <si>
    <t>Ferritin cobas</t>
  </si>
  <si>
    <t>B12 MINDRAY</t>
  </si>
  <si>
    <t>VITAMIN D MINDRAY</t>
  </si>
  <si>
    <t>FSH MINDRAY</t>
  </si>
  <si>
    <t>PROLACTIN MINDRAY</t>
  </si>
  <si>
    <t>TSH MINDRAY</t>
  </si>
  <si>
    <t>BHCG MINDRAY</t>
  </si>
  <si>
    <t>LH MINDRAY</t>
  </si>
  <si>
    <t>FERRITIN MINDRAY</t>
  </si>
  <si>
    <t>HBS Ag MINDRAY</t>
  </si>
  <si>
    <t>GPT (ALT) - Abbott</t>
  </si>
  <si>
    <t>GOT (AST) - Abbott</t>
  </si>
  <si>
    <t>HbsAg tosoh</t>
  </si>
  <si>
    <t>Vitamin D tosoh</t>
  </si>
  <si>
    <t>FT3 Vidas</t>
  </si>
  <si>
    <t>TSH Vidas</t>
  </si>
  <si>
    <t>GPT (ALT) - Roche</t>
  </si>
  <si>
    <t>Triglycerides - Roche</t>
  </si>
  <si>
    <t>CRP - cobas</t>
  </si>
  <si>
    <t>HBs Ag Architect</t>
  </si>
  <si>
    <t>VITAMIN D COBAS</t>
  </si>
  <si>
    <t>FT3 COBAS</t>
  </si>
  <si>
    <t>FT3 MINDRAY</t>
  </si>
  <si>
    <t>FT4 MINDRAY</t>
  </si>
  <si>
    <t>AMH MINDRAY</t>
  </si>
  <si>
    <t>TESTOSTERONE MINDRAY</t>
  </si>
  <si>
    <t>Prolactin Architect</t>
  </si>
  <si>
    <t>FSH COBAS</t>
  </si>
  <si>
    <t>B12 vidas</t>
  </si>
  <si>
    <t>BHCG COBAS</t>
  </si>
  <si>
    <t>LH COBAS</t>
  </si>
  <si>
    <t>PROLACTIN COBAS</t>
  </si>
  <si>
    <t>Testosterone cobas</t>
  </si>
  <si>
    <t>B12 COBAS</t>
  </si>
  <si>
    <t>FT4 COBAS</t>
  </si>
  <si>
    <t>TSH COBAS</t>
  </si>
  <si>
    <t>Triglycerides  Mindray</t>
  </si>
  <si>
    <t>CRP mindray</t>
  </si>
  <si>
    <t>PSA mindray</t>
  </si>
  <si>
    <t>Glucose mindray</t>
  </si>
  <si>
    <t>LDL MINDRAY</t>
  </si>
  <si>
    <t>HDL mindray</t>
  </si>
  <si>
    <t>GPT mindray</t>
  </si>
  <si>
    <t>Cholesterol mindray</t>
  </si>
  <si>
    <t>Creatinine mindray</t>
  </si>
  <si>
    <t>B12 ARC</t>
  </si>
  <si>
    <t>COST%</t>
  </si>
  <si>
    <t>GOT mindray</t>
  </si>
  <si>
    <t>AMH Roche</t>
  </si>
  <si>
    <t>AVG</t>
  </si>
  <si>
    <t>VIT D</t>
  </si>
  <si>
    <t>VIT B12</t>
  </si>
  <si>
    <t>TSH</t>
  </si>
  <si>
    <t>FERRITIN</t>
  </si>
  <si>
    <t>FT4</t>
  </si>
  <si>
    <t>FSH</t>
  </si>
  <si>
    <t>PROLACTIN</t>
  </si>
  <si>
    <t>PSA</t>
  </si>
  <si>
    <t>BHCG</t>
  </si>
  <si>
    <t>HBS Ag</t>
  </si>
  <si>
    <t>LH</t>
  </si>
  <si>
    <t>FT3</t>
  </si>
  <si>
    <t>TESTOSTERONE</t>
  </si>
  <si>
    <t>AMH</t>
  </si>
  <si>
    <t>GLUCOSE</t>
  </si>
  <si>
    <t>CREATININE</t>
  </si>
  <si>
    <t>CHOLESTROL</t>
  </si>
  <si>
    <t xml:space="preserve">Triglycerides  </t>
  </si>
  <si>
    <t xml:space="preserve">GPT </t>
  </si>
  <si>
    <t xml:space="preserve">GOT </t>
  </si>
  <si>
    <t xml:space="preserve">HDL </t>
  </si>
  <si>
    <t>LDL</t>
  </si>
  <si>
    <t xml:space="preserve">CRP </t>
  </si>
  <si>
    <t>Sum of TEST_COUNT</t>
  </si>
  <si>
    <t>Sum of TOTAL_REVENUE</t>
  </si>
  <si>
    <t>Sum of TOTAL_COST</t>
  </si>
  <si>
    <t>test cost</t>
  </si>
  <si>
    <t>cost%</t>
  </si>
  <si>
    <t>Store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</si>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</sst>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9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4"/>
      <color rgb="FF9C5700"/>
      <name val="Calibri"/>
      <family val="2"/>
      <scheme val="minor"/>
    </font>
    <font>
      <sz val="16"/>
      <color rgb="FF9C57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6"/>
      <color rgb="FF9C57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9" fontId="6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4" borderId="0" applyNumberFormat="0" applyBorder="0" applyAlignment="0" applyProtection="0"/>
    <xf numFmtId="0" fontId="21" fillId="5" borderId="0" applyNumberFormat="0" applyBorder="0" applyAlignment="0" applyProtection="0"/>
    <xf numFmtId="43" fontId="6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2" borderId="3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2" borderId="3" xfId="1" applyFont="1" applyBorder="1" applyAlignment="1">
      <alignment horizontal="center" vertical="center"/>
    </xf>
    <xf numFmtId="0" fontId="2" fillId="2" borderId="4" xfId="1" applyFont="1" applyBorder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7" fillId="2" borderId="3" xfId="1" applyFont="1" applyBorder="1" applyAlignment="1">
      <alignment horizontal="center"/>
    </xf>
    <xf numFmtId="0" fontId="4" fillId="0" borderId="0" xfId="0" applyFont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vertical="center"/>
    </xf>
    <xf numFmtId="0" fontId="9" fillId="3" borderId="2" xfId="0" applyFont="1" applyFill="1" applyBorder="1" applyAlignment="1">
      <alignment horizontal="center"/>
    </xf>
    <xf numFmtId="164" fontId="8" fillId="3" borderId="2" xfId="0" applyNumberFormat="1" applyFont="1" applyFill="1" applyBorder="1" applyAlignment="1">
      <alignment horizontal="center"/>
    </xf>
    <xf numFmtId="0" fontId="0" fillId="3" borderId="0" xfId="0" applyFill="1"/>
    <xf numFmtId="0" fontId="12" fillId="4" borderId="2" xfId="4" applyFont="1" applyBorder="1" applyAlignment="1">
      <alignment horizontal="center"/>
    </xf>
    <xf numFmtId="164" fontId="12" fillId="4" borderId="2" xfId="4" applyNumberFormat="1" applyFont="1" applyBorder="1" applyAlignment="1">
      <alignment horizontal="center"/>
    </xf>
    <xf numFmtId="1" fontId="12" fillId="4" borderId="2" xfId="4" applyNumberFormat="1" applyFont="1" applyBorder="1" applyAlignment="1">
      <alignment horizontal="center"/>
    </xf>
    <xf numFmtId="0" fontId="13" fillId="4" borderId="2" xfId="4" applyFont="1" applyBorder="1" applyAlignment="1">
      <alignment horizontal="center"/>
    </xf>
    <xf numFmtId="1" fontId="13" fillId="4" borderId="2" xfId="4" applyNumberFormat="1" applyFont="1" applyBorder="1" applyAlignment="1">
      <alignment horizontal="center"/>
    </xf>
    <xf numFmtId="0" fontId="14" fillId="4" borderId="2" xfId="4" applyFont="1" applyBorder="1" applyAlignment="1">
      <alignment horizontal="center"/>
    </xf>
    <xf numFmtId="164" fontId="14" fillId="4" borderId="2" xfId="4" applyNumberFormat="1" applyFont="1" applyBorder="1" applyAlignment="1">
      <alignment horizontal="center"/>
    </xf>
    <xf numFmtId="165" fontId="0" fillId="0" borderId="2" xfId="2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13" fillId="4" borderId="2" xfId="2" applyFont="1" applyFill="1" applyBorder="1" applyAlignment="1">
      <alignment horizontal="center"/>
    </xf>
    <xf numFmtId="0" fontId="15" fillId="4" borderId="2" xfId="4" applyFont="1" applyBorder="1" applyAlignment="1">
      <alignment horizontal="center"/>
    </xf>
    <xf numFmtId="164" fontId="15" fillId="4" borderId="2" xfId="4" applyNumberFormat="1" applyFont="1" applyBorder="1" applyAlignment="1">
      <alignment horizontal="center"/>
    </xf>
    <xf numFmtId="164" fontId="16" fillId="3" borderId="2" xfId="0" applyNumberFormat="1" applyFont="1" applyFill="1" applyBorder="1" applyAlignment="1">
      <alignment horizontal="center"/>
    </xf>
    <xf numFmtId="164" fontId="17" fillId="4" borderId="2" xfId="4" applyNumberFormat="1" applyFont="1" applyBorder="1" applyAlignment="1">
      <alignment horizontal="center"/>
    </xf>
    <xf numFmtId="0" fontId="16" fillId="0" borderId="0" xfId="0" applyFont="1"/>
    <xf numFmtId="165" fontId="15" fillId="4" borderId="2" xfId="2" applyNumberFormat="1" applyFont="1" applyFill="1" applyBorder="1" applyAlignment="1">
      <alignment horizontal="center"/>
    </xf>
    <xf numFmtId="0" fontId="17" fillId="4" borderId="2" xfId="4" applyFont="1" applyBorder="1" applyAlignment="1">
      <alignment horizontal="center"/>
    </xf>
    <xf numFmtId="0" fontId="18" fillId="4" borderId="2" xfId="4" applyFont="1" applyBorder="1" applyAlignment="1">
      <alignment horizontal="center"/>
    </xf>
    <xf numFmtId="164" fontId="18" fillId="4" borderId="2" xfId="4" applyNumberFormat="1" applyFont="1" applyBorder="1" applyAlignment="1">
      <alignment horizontal="center"/>
    </xf>
    <xf numFmtId="165" fontId="14" fillId="4" borderId="2" xfId="2" applyNumberFormat="1" applyFont="1" applyFill="1" applyBorder="1" applyAlignment="1">
      <alignment horizontal="center"/>
    </xf>
    <xf numFmtId="0" fontId="2" fillId="2" borderId="2" xfId="1" applyFont="1" applyBorder="1" applyAlignment="1">
      <alignment horizontal="center"/>
    </xf>
    <xf numFmtId="0" fontId="19" fillId="2" borderId="2" xfId="1" applyFont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5" fontId="16" fillId="0" borderId="2" xfId="2" applyNumberFormat="1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165" fontId="4" fillId="0" borderId="2" xfId="2" applyNumberFormat="1" applyFont="1" applyBorder="1" applyAlignment="1">
      <alignment horizontal="center"/>
    </xf>
    <xf numFmtId="165" fontId="17" fillId="4" borderId="2" xfId="4" applyNumberFormat="1" applyFont="1" applyBorder="1" applyAlignment="1">
      <alignment horizontal="center"/>
    </xf>
    <xf numFmtId="165" fontId="14" fillId="4" borderId="2" xfId="4" applyNumberFormat="1" applyFont="1" applyBorder="1" applyAlignment="1">
      <alignment horizontal="center"/>
    </xf>
    <xf numFmtId="165" fontId="18" fillId="4" borderId="2" xfId="4" applyNumberFormat="1" applyFont="1" applyBorder="1" applyAlignment="1">
      <alignment horizontal="center"/>
    </xf>
    <xf numFmtId="0" fontId="18" fillId="4" borderId="2" xfId="4" applyFont="1" applyBorder="1" applyAlignment="1">
      <alignment horizontal="center" vertical="center"/>
    </xf>
    <xf numFmtId="1" fontId="18" fillId="4" borderId="2" xfId="4" applyNumberFormat="1" applyFont="1" applyBorder="1" applyAlignment="1">
      <alignment horizontal="center" vertical="center"/>
    </xf>
    <xf numFmtId="164" fontId="18" fillId="4" borderId="2" xfId="4" applyNumberFormat="1" applyFont="1" applyBorder="1" applyAlignment="1">
      <alignment horizontal="center" vertical="center"/>
    </xf>
    <xf numFmtId="0" fontId="1" fillId="2" borderId="1" xfId="1" applyAlignment="1">
      <alignment horizontal="center"/>
    </xf>
    <xf numFmtId="165" fontId="18" fillId="4" borderId="2" xfId="2" applyNumberFormat="1" applyFont="1" applyFill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/>
    </xf>
    <xf numFmtId="165" fontId="12" fillId="4" borderId="2" xfId="4" applyNumberFormat="1" applyFont="1" applyBorder="1" applyAlignment="1">
      <alignment horizontal="center"/>
    </xf>
    <xf numFmtId="1" fontId="14" fillId="4" borderId="2" xfId="4" applyNumberFormat="1" applyFont="1" applyBorder="1" applyAlignment="1">
      <alignment horizontal="center"/>
    </xf>
    <xf numFmtId="165" fontId="12" fillId="4" borderId="2" xfId="2" applyNumberFormat="1" applyFont="1" applyFill="1" applyBorder="1" applyAlignment="1">
      <alignment horizontal="center"/>
    </xf>
    <xf numFmtId="0" fontId="2" fillId="2" borderId="5" xfId="1" applyFont="1" applyBorder="1" applyAlignment="1">
      <alignment horizontal="center"/>
    </xf>
    <xf numFmtId="164" fontId="3" fillId="3" borderId="6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4" fontId="12" fillId="4" borderId="6" xfId="4" applyNumberFormat="1" applyFont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1" fontId="17" fillId="4" borderId="6" xfId="4" applyNumberFormat="1" applyFont="1" applyBorder="1" applyAlignment="1">
      <alignment horizontal="center"/>
    </xf>
    <xf numFmtId="1" fontId="17" fillId="4" borderId="2" xfId="4" applyNumberFormat="1" applyFont="1" applyBorder="1" applyAlignment="1">
      <alignment horizontal="center"/>
    </xf>
    <xf numFmtId="0" fontId="7" fillId="2" borderId="4" xfId="1" applyFont="1" applyBorder="1" applyAlignment="1">
      <alignment horizontal="center" vertical="center"/>
    </xf>
    <xf numFmtId="1" fontId="15" fillId="4" borderId="2" xfId="4" applyNumberFormat="1" applyFont="1" applyBorder="1" applyAlignment="1">
      <alignment horizontal="center"/>
    </xf>
    <xf numFmtId="165" fontId="15" fillId="4" borderId="2" xfId="4" applyNumberFormat="1" applyFont="1" applyBorder="1" applyAlignment="1">
      <alignment horizontal="center"/>
    </xf>
    <xf numFmtId="0" fontId="15" fillId="4" borderId="2" xfId="4" applyFont="1" applyBorder="1" applyAlignment="1">
      <alignment horizontal="center" vertical="center"/>
    </xf>
    <xf numFmtId="164" fontId="15" fillId="4" borderId="2" xfId="4" applyNumberFormat="1" applyFont="1" applyBorder="1" applyAlignment="1">
      <alignment horizontal="center" vertical="center"/>
    </xf>
    <xf numFmtId="165" fontId="15" fillId="4" borderId="2" xfId="4" applyNumberFormat="1" applyFont="1" applyBorder="1" applyAlignment="1">
      <alignment horizontal="center" vertical="center"/>
    </xf>
    <xf numFmtId="0" fontId="17" fillId="4" borderId="2" xfId="4" applyFont="1" applyBorder="1" applyAlignment="1">
      <alignment horizontal="center" vertical="center"/>
    </xf>
    <xf numFmtId="1" fontId="17" fillId="4" borderId="2" xfId="4" applyNumberFormat="1" applyFont="1" applyBorder="1" applyAlignment="1">
      <alignment horizontal="center" vertical="center"/>
    </xf>
    <xf numFmtId="164" fontId="17" fillId="4" borderId="2" xfId="4" applyNumberFormat="1" applyFont="1" applyBorder="1" applyAlignment="1">
      <alignment horizontal="center" vertical="center"/>
    </xf>
    <xf numFmtId="0" fontId="14" fillId="4" borderId="2" xfId="4" applyFont="1" applyBorder="1" applyAlignment="1">
      <alignment horizontal="center" vertical="center"/>
    </xf>
    <xf numFmtId="165" fontId="0" fillId="0" borderId="2" xfId="2" applyNumberFormat="1" applyFont="1" applyFill="1" applyBorder="1" applyAlignment="1">
      <alignment horizontal="center"/>
    </xf>
    <xf numFmtId="165" fontId="17" fillId="4" borderId="2" xfId="4" applyNumberFormat="1" applyFont="1" applyBorder="1" applyAlignment="1">
      <alignment horizontal="center" vertical="center"/>
    </xf>
    <xf numFmtId="0" fontId="2" fillId="2" borderId="1" xfId="1" applyFont="1" applyAlignment="1">
      <alignment horizontal="center"/>
    </xf>
    <xf numFmtId="0" fontId="3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4" fillId="4" borderId="2" xfId="4" applyNumberFormat="1" applyFont="1" applyBorder="1" applyAlignment="1">
      <alignment horizontal="center"/>
    </xf>
    <xf numFmtId="165" fontId="21" fillId="5" borderId="2" xfId="5" applyNumberFormat="1" applyBorder="1" applyAlignment="1">
      <alignment horizontal="center"/>
    </xf>
    <xf numFmtId="165" fontId="6" fillId="0" borderId="2" xfId="2" applyNumberFormat="1" applyFont="1" applyBorder="1" applyAlignment="1">
      <alignment horizontal="center"/>
    </xf>
    <xf numFmtId="3" fontId="16" fillId="3" borderId="2" xfId="6" applyNumberFormat="1" applyFont="1" applyFill="1" applyBorder="1" applyAlignment="1">
      <alignment horizontal="center"/>
    </xf>
    <xf numFmtId="3" fontId="14" fillId="4" borderId="2" xfId="6" applyNumberFormat="1" applyFont="1" applyFill="1" applyBorder="1" applyAlignment="1">
      <alignment horizontal="center"/>
    </xf>
    <xf numFmtId="169" fontId="0" fillId="0" borderId="0" xfId="6" applyNumberFormat="1" applyFont="1"/>
    <xf numFmtId="0" fontId="1" fillId="2" borderId="3" xfId="1" applyBorder="1" applyAlignment="1">
      <alignment horizontal="center"/>
    </xf>
    <xf numFmtId="169" fontId="0" fillId="0" borderId="2" xfId="6" applyNumberFormat="1" applyFont="1" applyBorder="1"/>
    <xf numFmtId="169" fontId="3" fillId="0" borderId="2" xfId="6" applyNumberFormat="1" applyFont="1" applyBorder="1" applyAlignment="1">
      <alignment horizontal="center"/>
    </xf>
    <xf numFmtId="1" fontId="0" fillId="0" borderId="2" xfId="0" applyNumberFormat="1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0" xfId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2" borderId="4" xfId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7" xfId="1" applyFont="1" applyBorder="1" applyAlignment="1">
      <alignment horizontal="center"/>
    </xf>
    <xf numFmtId="0" fontId="2" fillId="2" borderId="8" xfId="1" applyFont="1" applyBorder="1" applyAlignment="1">
      <alignment horizontal="center"/>
    </xf>
    <xf numFmtId="169" fontId="16" fillId="0" borderId="2" xfId="6" applyNumberFormat="1" applyFont="1" applyBorder="1" applyAlignment="1">
      <alignment horizontal="center"/>
    </xf>
    <xf numFmtId="169" fontId="0" fillId="0" borderId="2" xfId="6" applyNumberFormat="1" applyFont="1" applyBorder="1" applyAlignment="1">
      <alignment horizontal="center" vertical="center"/>
    </xf>
    <xf numFmtId="169" fontId="0" fillId="0" borderId="2" xfId="6" applyNumberFormat="1" applyFont="1" applyBorder="1" applyAlignment="1">
      <alignment horizontal="center"/>
    </xf>
    <xf numFmtId="0" fontId="2" fillId="2" borderId="9" xfId="1" applyFont="1" applyBorder="1" applyAlignment="1">
      <alignment horizontal="center"/>
    </xf>
  </cellXfs>
  <cellStyles count="7">
    <cellStyle name="Bad" xfId="5" builtinId="27"/>
    <cellStyle name="Check Cell" xfId="1" builtinId="23"/>
    <cellStyle name="Comma" xfId="6" builtinId="3"/>
    <cellStyle name="Neutral" xfId="4" builtinId="28"/>
    <cellStyle name="Normal" xfId="0" builtinId="0"/>
    <cellStyle name="Normal 2" xfId="3" xr:uid="{6B30DAC0-15F5-49F1-A0AB-301F179688F7}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0B5F-4270-404B-855B-D1F2CA173888}">
  <dimension ref="A1:G33"/>
  <sheetViews>
    <sheetView workbookViewId="0">
      <pane ySplit="1" topLeftCell="A11" activePane="bottomLeft" state="frozen"/>
      <selection pane="bottomLeft" activeCell="D3" sqref="D3"/>
    </sheetView>
  </sheetViews>
  <sheetFormatPr defaultRowHeight="15.75" x14ac:dyDescent="0.25"/>
  <cols>
    <col min="1" max="1" width="22" style="81" bestFit="1" customWidth="1"/>
    <col min="2" max="2" width="21.42578125" style="81" bestFit="1" customWidth="1"/>
    <col min="3" max="3" width="25.28515625" style="81" bestFit="1" customWidth="1"/>
    <col min="4" max="4" width="21.140625" style="81" bestFit="1" customWidth="1"/>
    <col min="5" max="5" width="19" style="81" customWidth="1"/>
    <col min="6" max="6" width="9.140625" style="81"/>
    <col min="7" max="7" width="14.5703125" style="81" bestFit="1" customWidth="1"/>
    <col min="8" max="16384" width="9.140625" style="81"/>
  </cols>
  <sheetData>
    <row r="1" spans="1:7" ht="17.25" thickTop="1" thickBot="1" x14ac:dyDescent="0.3">
      <c r="A1" s="80" t="s">
        <v>158</v>
      </c>
      <c r="B1" s="80" t="s">
        <v>153</v>
      </c>
      <c r="C1" s="80" t="s">
        <v>154</v>
      </c>
      <c r="D1" s="80" t="s">
        <v>155</v>
      </c>
      <c r="E1" s="80" t="s">
        <v>156</v>
      </c>
      <c r="F1" s="2" t="s">
        <v>157</v>
      </c>
      <c r="G1" s="92" t="s">
        <v>159</v>
      </c>
    </row>
    <row r="2" spans="1:7" ht="19.5" thickTop="1" x14ac:dyDescent="0.3">
      <c r="A2" s="28" t="s">
        <v>129</v>
      </c>
      <c r="B2" s="86">
        <v>240854</v>
      </c>
      <c r="C2" s="86">
        <v>10271931</v>
      </c>
      <c r="D2" s="86">
        <v>1945460.2394900001</v>
      </c>
      <c r="E2" s="29">
        <v>8.07734245430842</v>
      </c>
      <c r="F2" s="50">
        <v>0.1893957659460524</v>
      </c>
      <c r="G2" s="94">
        <f>C2-D2</f>
        <v>8326470.7605099995</v>
      </c>
    </row>
    <row r="3" spans="1:7" ht="18.75" x14ac:dyDescent="0.3">
      <c r="A3" s="82" t="s">
        <v>13</v>
      </c>
      <c r="B3" s="85">
        <v>31984</v>
      </c>
      <c r="C3" s="85">
        <v>1264045</v>
      </c>
      <c r="D3" s="85">
        <v>220187.49325999999</v>
      </c>
      <c r="E3" s="84">
        <f>D3/B3</f>
        <v>6.8843013150325163</v>
      </c>
      <c r="F3" s="46">
        <f>D3/C3</f>
        <v>0.17419276470378822</v>
      </c>
      <c r="G3" s="94">
        <f>C3-D3</f>
        <v>1043857.50674</v>
      </c>
    </row>
    <row r="4" spans="1:7" ht="18.75" x14ac:dyDescent="0.3">
      <c r="A4" s="82" t="s">
        <v>7</v>
      </c>
      <c r="B4" s="85">
        <v>17992</v>
      </c>
      <c r="C4" s="85">
        <v>778056</v>
      </c>
      <c r="D4" s="85">
        <v>117883.48350000002</v>
      </c>
      <c r="E4" s="84">
        <f>D4/B4</f>
        <v>6.5519944141840831</v>
      </c>
      <c r="F4" s="46">
        <f>D4/C4</f>
        <v>0.15151028139362721</v>
      </c>
      <c r="G4" s="94">
        <f>C4-D4</f>
        <v>660172.51650000003</v>
      </c>
    </row>
    <row r="5" spans="1:7" ht="18.75" x14ac:dyDescent="0.3">
      <c r="A5" s="82" t="s">
        <v>24</v>
      </c>
      <c r="B5" s="85">
        <v>16752</v>
      </c>
      <c r="C5" s="85">
        <v>728183</v>
      </c>
      <c r="D5" s="85">
        <v>147257.81359999996</v>
      </c>
      <c r="E5" s="84">
        <f>D5/B5</f>
        <v>8.7904616523400172</v>
      </c>
      <c r="F5" s="46">
        <f>D5/C5</f>
        <v>0.20222638210449842</v>
      </c>
      <c r="G5" s="94">
        <f>C5-D5</f>
        <v>580925.18640000001</v>
      </c>
    </row>
    <row r="6" spans="1:7" ht="18.75" x14ac:dyDescent="0.3">
      <c r="A6" s="82" t="s">
        <v>11</v>
      </c>
      <c r="B6" s="85">
        <v>16165</v>
      </c>
      <c r="C6" s="85">
        <v>686831</v>
      </c>
      <c r="D6" s="85">
        <v>118903.64616</v>
      </c>
      <c r="E6" s="84">
        <f>D6/B6</f>
        <v>7.355623022579648</v>
      </c>
      <c r="F6" s="46">
        <f>D6/C6</f>
        <v>0.17311921878890149</v>
      </c>
      <c r="G6" s="94">
        <f>C6-D6</f>
        <v>567927.35384</v>
      </c>
    </row>
    <row r="7" spans="1:7" ht="18.75" x14ac:dyDescent="0.3">
      <c r="A7" s="82" t="s">
        <v>16</v>
      </c>
      <c r="B7" s="85">
        <v>12496</v>
      </c>
      <c r="C7" s="85">
        <v>591514</v>
      </c>
      <c r="D7" s="85">
        <v>119294.1298</v>
      </c>
      <c r="E7" s="84">
        <f>D7/B7</f>
        <v>9.5465852912932139</v>
      </c>
      <c r="F7" s="46">
        <f>D7/C7</f>
        <v>0.20167591942033494</v>
      </c>
      <c r="G7" s="94">
        <f>C7-D7</f>
        <v>472219.8702</v>
      </c>
    </row>
    <row r="8" spans="1:7" ht="18.75" x14ac:dyDescent="0.3">
      <c r="A8" s="82" t="s">
        <v>6</v>
      </c>
      <c r="B8" s="85">
        <v>12740</v>
      </c>
      <c r="C8" s="85">
        <v>567762</v>
      </c>
      <c r="D8" s="85">
        <v>108647.98806000002</v>
      </c>
      <c r="E8" s="84">
        <f>D8/B8</f>
        <v>8.5280995337519645</v>
      </c>
      <c r="F8" s="46">
        <f>D8/C8</f>
        <v>0.19136185243112433</v>
      </c>
      <c r="G8" s="94">
        <f>C8-D8</f>
        <v>459114.01194</v>
      </c>
    </row>
    <row r="9" spans="1:7" ht="18.75" x14ac:dyDescent="0.3">
      <c r="A9" s="82" t="s">
        <v>15</v>
      </c>
      <c r="B9" s="85">
        <v>12841</v>
      </c>
      <c r="C9" s="85">
        <v>549562</v>
      </c>
      <c r="D9" s="85">
        <v>99391.331080000004</v>
      </c>
      <c r="E9" s="84">
        <f>D9/B9</f>
        <v>7.7401550564597779</v>
      </c>
      <c r="F9" s="46">
        <f>D9/C9</f>
        <v>0.18085553782830691</v>
      </c>
      <c r="G9" s="94">
        <f>C9-D9</f>
        <v>450170.66891999997</v>
      </c>
    </row>
    <row r="10" spans="1:7" ht="18.75" x14ac:dyDescent="0.3">
      <c r="A10" s="82" t="s">
        <v>17</v>
      </c>
      <c r="B10" s="85">
        <v>12583</v>
      </c>
      <c r="C10" s="85">
        <v>515293</v>
      </c>
      <c r="D10" s="85">
        <v>101868.88261999999</v>
      </c>
      <c r="E10" s="84">
        <f>D10/B10</f>
        <v>8.0957547977429858</v>
      </c>
      <c r="F10" s="46">
        <f>D10/C10</f>
        <v>0.197691182725168</v>
      </c>
      <c r="G10" s="94">
        <f>C10-D10</f>
        <v>413424.11738000001</v>
      </c>
    </row>
    <row r="11" spans="1:7" ht="18.75" x14ac:dyDescent="0.3">
      <c r="A11" s="82" t="s">
        <v>44</v>
      </c>
      <c r="B11" s="85">
        <v>10786</v>
      </c>
      <c r="C11" s="85">
        <v>466403</v>
      </c>
      <c r="D11" s="85">
        <v>64012.155999999995</v>
      </c>
      <c r="E11" s="84">
        <f>D11/B11</f>
        <v>5.93474466901539</v>
      </c>
      <c r="F11" s="46">
        <f>D11/C11</f>
        <v>0.13724644995851226</v>
      </c>
      <c r="G11" s="94">
        <f>C11-D11</f>
        <v>402390.84399999998</v>
      </c>
    </row>
    <row r="12" spans="1:7" ht="18.75" x14ac:dyDescent="0.3">
      <c r="A12" s="82" t="s">
        <v>59</v>
      </c>
      <c r="B12" s="85">
        <v>10496</v>
      </c>
      <c r="C12" s="85">
        <v>461615</v>
      </c>
      <c r="D12" s="85">
        <v>81426.035499999998</v>
      </c>
      <c r="E12" s="84">
        <f>D12/B12</f>
        <v>7.7578158822408536</v>
      </c>
      <c r="F12" s="46">
        <f>D12/C12</f>
        <v>0.17639382494069733</v>
      </c>
      <c r="G12" s="94">
        <f>C12-D12</f>
        <v>380188.9645</v>
      </c>
    </row>
    <row r="13" spans="1:7" ht="18.75" x14ac:dyDescent="0.3">
      <c r="A13" s="82" t="s">
        <v>47</v>
      </c>
      <c r="B13" s="85">
        <v>9318</v>
      </c>
      <c r="C13" s="85">
        <v>372478</v>
      </c>
      <c r="D13" s="85">
        <v>65730.8465</v>
      </c>
      <c r="E13" s="84">
        <f>D13/B13</f>
        <v>7.054179705945482</v>
      </c>
      <c r="F13" s="46">
        <f>D13/C13</f>
        <v>0.17646907065652198</v>
      </c>
      <c r="G13" s="94">
        <f>C13-D13</f>
        <v>306747.15350000001</v>
      </c>
    </row>
    <row r="14" spans="1:7" ht="18.75" x14ac:dyDescent="0.3">
      <c r="A14" s="82" t="s">
        <v>9</v>
      </c>
      <c r="B14" s="85">
        <v>7453</v>
      </c>
      <c r="C14" s="85">
        <v>356299</v>
      </c>
      <c r="D14" s="85">
        <v>56271.737000000001</v>
      </c>
      <c r="E14" s="84">
        <f>D14/B14</f>
        <v>7.5502129343888367</v>
      </c>
      <c r="F14" s="46">
        <f>D14/C14</f>
        <v>0.15793403012638263</v>
      </c>
      <c r="G14" s="94">
        <f>C14-D14</f>
        <v>300027.26299999998</v>
      </c>
    </row>
    <row r="15" spans="1:7" ht="18.75" x14ac:dyDescent="0.3">
      <c r="A15" s="82" t="s">
        <v>55</v>
      </c>
      <c r="B15" s="85">
        <v>7903</v>
      </c>
      <c r="C15" s="85">
        <v>341619</v>
      </c>
      <c r="D15" s="85">
        <v>57434.438999999984</v>
      </c>
      <c r="E15" s="84">
        <f>D15/B15</f>
        <v>7.2674223712514214</v>
      </c>
      <c r="F15" s="46">
        <f>D15/C15</f>
        <v>0.16812425245668416</v>
      </c>
      <c r="G15" s="94">
        <f>C15-D15</f>
        <v>284184.56099999999</v>
      </c>
    </row>
    <row r="16" spans="1:7" ht="18.75" x14ac:dyDescent="0.3">
      <c r="A16" s="82" t="s">
        <v>12</v>
      </c>
      <c r="B16" s="85">
        <v>9542</v>
      </c>
      <c r="C16" s="85">
        <v>357746</v>
      </c>
      <c r="D16" s="85">
        <v>74651.221600000004</v>
      </c>
      <c r="E16" s="84">
        <f>D16/B16</f>
        <v>7.8234355061831904</v>
      </c>
      <c r="F16" s="87">
        <f>D16/C16</f>
        <v>0.20867101686671549</v>
      </c>
      <c r="G16" s="94">
        <f>C16-D16</f>
        <v>283094.77840000001</v>
      </c>
    </row>
    <row r="17" spans="1:7" ht="18.75" x14ac:dyDescent="0.3">
      <c r="A17" s="82" t="s">
        <v>74</v>
      </c>
      <c r="B17" s="85">
        <v>7355</v>
      </c>
      <c r="C17" s="85">
        <v>310180</v>
      </c>
      <c r="D17" s="85">
        <v>69576.761500000008</v>
      </c>
      <c r="E17" s="84">
        <f>D17/B17</f>
        <v>9.4597908225696816</v>
      </c>
      <c r="F17" s="87">
        <f>D17/C17</f>
        <v>0.22431092107808373</v>
      </c>
      <c r="G17" s="94">
        <f>C17-D17</f>
        <v>240603.23849999998</v>
      </c>
    </row>
    <row r="18" spans="1:7" ht="18.75" x14ac:dyDescent="0.3">
      <c r="A18" s="82" t="s">
        <v>22</v>
      </c>
      <c r="B18" s="85">
        <v>5934</v>
      </c>
      <c r="C18" s="85">
        <v>237993</v>
      </c>
      <c r="D18" s="85">
        <v>50912.507000000012</v>
      </c>
      <c r="E18" s="84">
        <f>D18/B18</f>
        <v>8.5797955847657583</v>
      </c>
      <c r="F18" s="87">
        <f>D18/C18</f>
        <v>0.21392438853243587</v>
      </c>
      <c r="G18" s="94">
        <f>C18-D18</f>
        <v>187080.49299999999</v>
      </c>
    </row>
    <row r="19" spans="1:7" ht="18.75" x14ac:dyDescent="0.3">
      <c r="A19" s="82" t="s">
        <v>18</v>
      </c>
      <c r="B19" s="85">
        <v>5765</v>
      </c>
      <c r="C19" s="85">
        <v>225876</v>
      </c>
      <c r="D19" s="85">
        <v>42955.813699999992</v>
      </c>
      <c r="E19" s="84">
        <f>D19/B19</f>
        <v>7.4511385429314814</v>
      </c>
      <c r="F19" s="46">
        <f>D19/C19</f>
        <v>0.19017431555366657</v>
      </c>
      <c r="G19" s="94">
        <f>C19-D19</f>
        <v>182920.1863</v>
      </c>
    </row>
    <row r="20" spans="1:7" ht="18.75" x14ac:dyDescent="0.3">
      <c r="A20" s="82" t="s">
        <v>35</v>
      </c>
      <c r="B20" s="85">
        <v>4055</v>
      </c>
      <c r="C20" s="85">
        <v>203671</v>
      </c>
      <c r="D20" s="85">
        <v>48665.348599999998</v>
      </c>
      <c r="E20" s="84">
        <f>D20/B20</f>
        <v>12.001319013563501</v>
      </c>
      <c r="F20" s="87">
        <f>D20/C20</f>
        <v>0.23894098128845048</v>
      </c>
      <c r="G20" s="94">
        <f>C20-D20</f>
        <v>155005.6514</v>
      </c>
    </row>
    <row r="21" spans="1:7" ht="18.75" x14ac:dyDescent="0.3">
      <c r="A21" s="82" t="s">
        <v>31</v>
      </c>
      <c r="B21" s="85">
        <v>4562</v>
      </c>
      <c r="C21" s="85">
        <v>175201</v>
      </c>
      <c r="D21" s="85">
        <v>41677.792400000006</v>
      </c>
      <c r="E21" s="84">
        <f>D21/B21</f>
        <v>9.1358597983340655</v>
      </c>
      <c r="F21" s="87">
        <f>D21/C21</f>
        <v>0.23788558512793881</v>
      </c>
      <c r="G21" s="94">
        <f>C21-D21</f>
        <v>133523.20759999999</v>
      </c>
    </row>
    <row r="22" spans="1:7" ht="18.75" x14ac:dyDescent="0.3">
      <c r="A22" s="82" t="s">
        <v>39</v>
      </c>
      <c r="B22" s="85">
        <v>3499</v>
      </c>
      <c r="C22" s="85">
        <v>160510</v>
      </c>
      <c r="D22" s="85">
        <v>33052.165999999997</v>
      </c>
      <c r="E22" s="84">
        <f>D22/B22</f>
        <v>9.446174907116319</v>
      </c>
      <c r="F22" s="87">
        <f>D22/C22</f>
        <v>0.20591966855647623</v>
      </c>
      <c r="G22" s="94">
        <f>C22-D22</f>
        <v>127457.834</v>
      </c>
    </row>
    <row r="23" spans="1:7" ht="18.75" x14ac:dyDescent="0.3">
      <c r="A23" s="82" t="s">
        <v>41</v>
      </c>
      <c r="B23" s="85">
        <v>3603</v>
      </c>
      <c r="C23" s="85">
        <v>149795</v>
      </c>
      <c r="D23" s="85">
        <v>30078.7389</v>
      </c>
      <c r="E23" s="84">
        <f>D23/B23</f>
        <v>8.3482483763530393</v>
      </c>
      <c r="F23" s="46">
        <f>D23/C23</f>
        <v>0.20079935178076705</v>
      </c>
      <c r="G23" s="94">
        <f>C23-D23</f>
        <v>119716.2611</v>
      </c>
    </row>
    <row r="24" spans="1:7" ht="18.75" x14ac:dyDescent="0.3">
      <c r="A24" s="82" t="s">
        <v>54</v>
      </c>
      <c r="B24" s="85">
        <v>2419</v>
      </c>
      <c r="C24" s="85">
        <v>126871</v>
      </c>
      <c r="D24" s="85">
        <v>29771.331700000002</v>
      </c>
      <c r="E24" s="84">
        <f>D24/B24</f>
        <v>12.307288838362961</v>
      </c>
      <c r="F24" s="87">
        <f>D24/C24</f>
        <v>0.23465828834012503</v>
      </c>
      <c r="G24" s="94">
        <f>C24-D24</f>
        <v>97099.66829999999</v>
      </c>
    </row>
    <row r="25" spans="1:7" ht="18.75" x14ac:dyDescent="0.3">
      <c r="A25" s="82" t="s">
        <v>21</v>
      </c>
      <c r="B25" s="83">
        <v>2564</v>
      </c>
      <c r="C25" s="83">
        <v>124615</v>
      </c>
      <c r="D25" s="83">
        <v>33501.498800000001</v>
      </c>
      <c r="E25" s="84">
        <f>D25/B25</f>
        <v>13.066107176287051</v>
      </c>
      <c r="F25" s="87">
        <f>D25/C25</f>
        <v>0.26884001765437548</v>
      </c>
      <c r="G25" s="94">
        <f>C25-D25</f>
        <v>91113.501199999999</v>
      </c>
    </row>
    <row r="26" spans="1:7" ht="18.75" x14ac:dyDescent="0.3">
      <c r="A26" s="82" t="s">
        <v>52</v>
      </c>
      <c r="B26" s="85">
        <v>2652</v>
      </c>
      <c r="C26" s="85">
        <v>120049</v>
      </c>
      <c r="D26" s="85">
        <v>29523.157500000001</v>
      </c>
      <c r="E26" s="84">
        <f>D26/B26</f>
        <v>11.132412330316743</v>
      </c>
      <c r="F26" s="87">
        <f>D26/C26</f>
        <v>0.24592589276045615</v>
      </c>
      <c r="G26" s="94">
        <f>C26-D26</f>
        <v>90525.842499999999</v>
      </c>
    </row>
    <row r="27" spans="1:7" ht="18.75" x14ac:dyDescent="0.3">
      <c r="A27" s="82" t="s">
        <v>20</v>
      </c>
      <c r="B27" s="85">
        <v>2669</v>
      </c>
      <c r="C27" s="85">
        <v>107607</v>
      </c>
      <c r="D27" s="85">
        <v>22355.798299999999</v>
      </c>
      <c r="E27" s="84">
        <f>D27/B27</f>
        <v>8.3760952791307606</v>
      </c>
      <c r="F27" s="87">
        <f>D27/C27</f>
        <v>0.20775412659027756</v>
      </c>
      <c r="G27" s="94">
        <f>C27-D27</f>
        <v>85251.201700000005</v>
      </c>
    </row>
    <row r="28" spans="1:7" ht="18.75" x14ac:dyDescent="0.3">
      <c r="A28" s="82" t="s">
        <v>8</v>
      </c>
      <c r="B28" s="83">
        <v>2063</v>
      </c>
      <c r="C28" s="83">
        <v>99555</v>
      </c>
      <c r="D28" s="83">
        <v>32286.617709999995</v>
      </c>
      <c r="E28" s="84">
        <f>D28/B28</f>
        <v>15.650323659718854</v>
      </c>
      <c r="F28" s="87">
        <f>D28/C28</f>
        <v>0.32430935372407205</v>
      </c>
      <c r="G28" s="94">
        <f>C28-D28</f>
        <v>67268.382290000009</v>
      </c>
    </row>
    <row r="29" spans="1:7" ht="18.75" x14ac:dyDescent="0.3">
      <c r="A29" s="82" t="s">
        <v>19</v>
      </c>
      <c r="B29" s="85">
        <v>1703</v>
      </c>
      <c r="C29" s="85">
        <v>72181</v>
      </c>
      <c r="D29" s="85">
        <v>15104.642499999998</v>
      </c>
      <c r="E29" s="84">
        <f>D29/B29</f>
        <v>8.8694318849089822</v>
      </c>
      <c r="F29" s="87">
        <f>D29/C29</f>
        <v>0.20926064338260758</v>
      </c>
      <c r="G29" s="94">
        <f>C29-D29</f>
        <v>57076.357499999998</v>
      </c>
    </row>
    <row r="30" spans="1:7" ht="18.75" x14ac:dyDescent="0.3">
      <c r="A30" s="82" t="s">
        <v>43</v>
      </c>
      <c r="B30" s="85">
        <v>964</v>
      </c>
      <c r="C30" s="85">
        <v>55462</v>
      </c>
      <c r="D30" s="85">
        <v>12141</v>
      </c>
      <c r="E30" s="84">
        <f>D30/B30</f>
        <v>12.594398340248963</v>
      </c>
      <c r="F30" s="87">
        <f>D30/C30</f>
        <v>0.21890663877970501</v>
      </c>
      <c r="G30" s="94">
        <f>C30-D30</f>
        <v>43321</v>
      </c>
    </row>
    <row r="31" spans="1:7" ht="18.75" x14ac:dyDescent="0.3">
      <c r="A31" s="82" t="s">
        <v>42</v>
      </c>
      <c r="B31" s="85">
        <v>1435</v>
      </c>
      <c r="C31" s="85">
        <v>51232</v>
      </c>
      <c r="D31" s="85">
        <v>15267.797699999999</v>
      </c>
      <c r="E31" s="84">
        <f>D31/B31</f>
        <v>10.639580278745644</v>
      </c>
      <c r="F31" s="87">
        <f>D31/C31</f>
        <v>0.2980129157557776</v>
      </c>
      <c r="G31" s="94">
        <f>C31-D31</f>
        <v>35964.202300000004</v>
      </c>
    </row>
    <row r="32" spans="1:7" ht="18.75" x14ac:dyDescent="0.3">
      <c r="A32" s="82" t="s">
        <v>50</v>
      </c>
      <c r="B32" s="85">
        <v>267</v>
      </c>
      <c r="C32" s="85">
        <v>5095</v>
      </c>
      <c r="D32" s="85">
        <v>361.26350000000002</v>
      </c>
      <c r="E32" s="84">
        <f>D32/B32</f>
        <v>1.3530468164794007</v>
      </c>
      <c r="F32" s="46">
        <f>D32/C32</f>
        <v>7.0905495583905798E-2</v>
      </c>
      <c r="G32" s="94">
        <f>C32-D32</f>
        <v>4733.7365</v>
      </c>
    </row>
    <row r="33" spans="1:7" ht="18.75" x14ac:dyDescent="0.3">
      <c r="A33" s="82" t="s">
        <v>40</v>
      </c>
      <c r="B33" s="83">
        <v>294</v>
      </c>
      <c r="C33" s="83">
        <v>8632</v>
      </c>
      <c r="D33" s="83">
        <v>5266.8</v>
      </c>
      <c r="E33" s="84">
        <f>D33/B33</f>
        <v>17.914285714285715</v>
      </c>
      <c r="F33" s="87">
        <f>D33/C33</f>
        <v>0.61014828544949029</v>
      </c>
      <c r="G33" s="94">
        <f>C33-D33</f>
        <v>3365.2</v>
      </c>
    </row>
  </sheetData>
  <sortState xmlns:xlrd2="http://schemas.microsoft.com/office/spreadsheetml/2017/richdata2" ref="A2:G33">
    <sortCondition descending="1" ref="G1:G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8674-A7CA-470D-A7AE-92D65FA33C4E}">
  <dimension ref="A1:H31"/>
  <sheetViews>
    <sheetView zoomScale="112" zoomScaleNormal="112" workbookViewId="0">
      <pane ySplit="1" topLeftCell="A2" activePane="bottomLeft" state="frozen"/>
      <selection pane="bottomLeft" activeCell="K25" sqref="K25"/>
    </sheetView>
  </sheetViews>
  <sheetFormatPr defaultRowHeight="15" x14ac:dyDescent="0.25"/>
  <cols>
    <col min="1" max="1" width="20.5703125" bestFit="1" customWidth="1"/>
    <col min="2" max="2" width="23.42578125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  <col min="8" max="8" width="13.2851562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2" t="s">
        <v>126</v>
      </c>
      <c r="H1" s="7" t="s">
        <v>159</v>
      </c>
    </row>
    <row r="2" spans="1:8" ht="21" x14ac:dyDescent="0.35">
      <c r="A2" s="26" t="s">
        <v>129</v>
      </c>
      <c r="B2" s="26" t="s">
        <v>130</v>
      </c>
      <c r="C2" s="27">
        <v>15355</v>
      </c>
      <c r="D2" s="27">
        <v>1942307</v>
      </c>
      <c r="E2" s="27">
        <v>460481.90370000002</v>
      </c>
      <c r="F2" s="27">
        <f>34</f>
        <v>34</v>
      </c>
      <c r="G2" s="32">
        <f>E2/D2</f>
        <v>0.23707987650767876</v>
      </c>
      <c r="H2" s="93">
        <f>D2-E2</f>
        <v>1481825.0962999999</v>
      </c>
    </row>
    <row r="3" spans="1:8" ht="15.75" x14ac:dyDescent="0.25">
      <c r="A3" s="4" t="s">
        <v>13</v>
      </c>
      <c r="B3" s="4" t="s">
        <v>23</v>
      </c>
      <c r="C3" s="4">
        <v>2155</v>
      </c>
      <c r="D3" s="4">
        <v>269452</v>
      </c>
      <c r="E3" s="10">
        <v>62863.600000000013</v>
      </c>
      <c r="F3" s="9">
        <f>29.1710440835267+2.4</f>
        <v>31.571044083526697</v>
      </c>
      <c r="G3" s="31">
        <f>E3/D3</f>
        <v>0.23330166411828457</v>
      </c>
      <c r="H3" s="95">
        <f>D3-E3</f>
        <v>206588.4</v>
      </c>
    </row>
    <row r="4" spans="1:8" ht="15.75" x14ac:dyDescent="0.25">
      <c r="A4" s="4" t="s">
        <v>7</v>
      </c>
      <c r="B4" s="4" t="s">
        <v>100</v>
      </c>
      <c r="C4" s="4">
        <v>1229</v>
      </c>
      <c r="D4" s="4">
        <v>156400</v>
      </c>
      <c r="E4" s="10">
        <v>37146.400000000001</v>
      </c>
      <c r="F4" s="9">
        <f>30.2248982912937+3.8</f>
        <v>34.024898291293702</v>
      </c>
      <c r="G4" s="31">
        <f>E4/D4</f>
        <v>0.23750895140664963</v>
      </c>
      <c r="H4" s="95">
        <f>D4-E4</f>
        <v>119253.6</v>
      </c>
    </row>
    <row r="5" spans="1:8" ht="15.75" x14ac:dyDescent="0.25">
      <c r="A5" s="4" t="s">
        <v>11</v>
      </c>
      <c r="B5" s="4" t="s">
        <v>23</v>
      </c>
      <c r="C5" s="4">
        <v>1056</v>
      </c>
      <c r="D5" s="4">
        <v>136738</v>
      </c>
      <c r="E5" s="10">
        <v>32846.299999999996</v>
      </c>
      <c r="F5" s="9">
        <f>31.1044507575758+1.1</f>
        <v>32.204450757575799</v>
      </c>
      <c r="G5" s="31">
        <f>E5/D5</f>
        <v>0.24021340081030873</v>
      </c>
      <c r="H5" s="95">
        <f>D5-E5</f>
        <v>103891.70000000001</v>
      </c>
    </row>
    <row r="6" spans="1:8" ht="15.75" x14ac:dyDescent="0.25">
      <c r="A6" s="4" t="s">
        <v>6</v>
      </c>
      <c r="B6" s="4" t="s">
        <v>23</v>
      </c>
      <c r="C6" s="4">
        <v>998</v>
      </c>
      <c r="D6" s="4">
        <v>125116</v>
      </c>
      <c r="E6" s="10">
        <v>24209.8</v>
      </c>
      <c r="F6" s="9">
        <f>24.2583166332665+2.5</f>
        <v>26.758316633266499</v>
      </c>
      <c r="G6" s="31">
        <f>E6/D6</f>
        <v>0.19349883308289906</v>
      </c>
      <c r="H6" s="95">
        <f>D6-E6</f>
        <v>100906.2</v>
      </c>
    </row>
    <row r="7" spans="1:8" ht="15.75" x14ac:dyDescent="0.25">
      <c r="A7" s="4" t="s">
        <v>24</v>
      </c>
      <c r="B7" s="4" t="s">
        <v>23</v>
      </c>
      <c r="C7" s="4">
        <v>982</v>
      </c>
      <c r="D7" s="4">
        <v>125109</v>
      </c>
      <c r="E7" s="10">
        <v>34253.9</v>
      </c>
      <c r="F7" s="9">
        <f>34.8817718940937+2</f>
        <v>36.881771894093703</v>
      </c>
      <c r="G7" s="31">
        <f>E7/D7</f>
        <v>0.27379245298100058</v>
      </c>
      <c r="H7" s="95">
        <f>D7-E7</f>
        <v>90855.1</v>
      </c>
    </row>
    <row r="8" spans="1:8" ht="15.75" x14ac:dyDescent="0.25">
      <c r="A8" s="4" t="s">
        <v>59</v>
      </c>
      <c r="B8" s="4" t="s">
        <v>93</v>
      </c>
      <c r="C8" s="4">
        <v>769</v>
      </c>
      <c r="D8" s="4">
        <v>99128</v>
      </c>
      <c r="E8" s="10">
        <v>17149.599999999999</v>
      </c>
      <c r="F8" s="9">
        <f>22.3011703511053+5.1</f>
        <v>27.4011703511053</v>
      </c>
      <c r="G8" s="31">
        <f>E8/D8</f>
        <v>0.17300460011298521</v>
      </c>
      <c r="H8" s="95">
        <f>D8-E8</f>
        <v>81978.399999999994</v>
      </c>
    </row>
    <row r="9" spans="1:8" ht="15.75" x14ac:dyDescent="0.25">
      <c r="A9" s="4" t="s">
        <v>16</v>
      </c>
      <c r="B9" s="4" t="s">
        <v>23</v>
      </c>
      <c r="C9" s="4">
        <v>789</v>
      </c>
      <c r="D9" s="4">
        <v>101062</v>
      </c>
      <c r="E9" s="10">
        <v>24492.7</v>
      </c>
      <c r="F9" s="9">
        <f>31.0427122940431+1.5</f>
        <v>32.542712294043099</v>
      </c>
      <c r="G9" s="31">
        <f>E9/D9</f>
        <v>0.24235320892125625</v>
      </c>
      <c r="H9" s="95">
        <f>D9-E9</f>
        <v>76569.3</v>
      </c>
    </row>
    <row r="10" spans="1:8" ht="15.75" x14ac:dyDescent="0.25">
      <c r="A10" s="4" t="s">
        <v>15</v>
      </c>
      <c r="B10" s="4" t="s">
        <v>23</v>
      </c>
      <c r="C10" s="4">
        <v>765</v>
      </c>
      <c r="D10" s="4">
        <v>98743</v>
      </c>
      <c r="E10" s="10">
        <v>25361.8</v>
      </c>
      <c r="F10" s="9">
        <f>33.1526797385621+3</f>
        <v>36.152679738562099</v>
      </c>
      <c r="G10" s="31">
        <f>E10/D10</f>
        <v>0.25684656127522965</v>
      </c>
      <c r="H10" s="95">
        <f>D10-E10</f>
        <v>73381.2</v>
      </c>
    </row>
    <row r="11" spans="1:8" ht="15.75" x14ac:dyDescent="0.25">
      <c r="A11" s="4" t="s">
        <v>17</v>
      </c>
      <c r="B11" s="4" t="s">
        <v>23</v>
      </c>
      <c r="C11" s="4">
        <v>740</v>
      </c>
      <c r="D11" s="4">
        <v>91529</v>
      </c>
      <c r="E11" s="10">
        <v>21173.8</v>
      </c>
      <c r="F11" s="9">
        <f>28.6132432432432+2.3</f>
        <v>30.913243243243201</v>
      </c>
      <c r="G11" s="31">
        <f>E11/D11</f>
        <v>0.23133433119557734</v>
      </c>
      <c r="H11" s="95">
        <f>D11-E11</f>
        <v>70355.199999999997</v>
      </c>
    </row>
    <row r="12" spans="1:8" ht="15.75" x14ac:dyDescent="0.25">
      <c r="A12" s="4" t="s">
        <v>55</v>
      </c>
      <c r="B12" s="4" t="s">
        <v>93</v>
      </c>
      <c r="C12" s="4">
        <v>561</v>
      </c>
      <c r="D12" s="4">
        <v>70296</v>
      </c>
      <c r="E12" s="10">
        <v>11426.6</v>
      </c>
      <c r="F12" s="9">
        <f>20.3682709447415+5.3</f>
        <v>25.668270944741501</v>
      </c>
      <c r="G12" s="31">
        <f>E12/D12</f>
        <v>0.16254978946170479</v>
      </c>
      <c r="H12" s="95">
        <f>D12-E12</f>
        <v>58869.4</v>
      </c>
    </row>
    <row r="13" spans="1:8" ht="15.75" x14ac:dyDescent="0.25">
      <c r="A13" s="4" t="s">
        <v>44</v>
      </c>
      <c r="B13" s="4" t="s">
        <v>82</v>
      </c>
      <c r="C13" s="4">
        <v>556</v>
      </c>
      <c r="D13" s="4">
        <v>71843</v>
      </c>
      <c r="E13" s="10">
        <v>14520</v>
      </c>
      <c r="F13" s="9">
        <f>26.1151079136691+8.3</f>
        <v>34.415107913669104</v>
      </c>
      <c r="G13" s="31">
        <f>E13/D13</f>
        <v>0.20210737302172793</v>
      </c>
      <c r="H13" s="95">
        <f>D13-E13</f>
        <v>57323</v>
      </c>
    </row>
    <row r="14" spans="1:8" ht="15.75" x14ac:dyDescent="0.25">
      <c r="A14" s="4" t="s">
        <v>47</v>
      </c>
      <c r="B14" s="4" t="s">
        <v>93</v>
      </c>
      <c r="C14" s="4">
        <v>563</v>
      </c>
      <c r="D14" s="4">
        <v>72553</v>
      </c>
      <c r="E14" s="10">
        <v>15403.6</v>
      </c>
      <c r="F14" s="9">
        <f>27.3598579040853+5.6</f>
        <v>32.959857904085297</v>
      </c>
      <c r="G14" s="31">
        <f>E14/D14</f>
        <v>0.2123082436287955</v>
      </c>
      <c r="H14" s="95">
        <f>D14-E14</f>
        <v>57149.4</v>
      </c>
    </row>
    <row r="15" spans="1:8" ht="15.75" x14ac:dyDescent="0.25">
      <c r="A15" s="4" t="s">
        <v>9</v>
      </c>
      <c r="B15" s="4" t="s">
        <v>82</v>
      </c>
      <c r="C15" s="4">
        <v>514</v>
      </c>
      <c r="D15" s="4">
        <v>65540</v>
      </c>
      <c r="E15" s="10">
        <v>13960</v>
      </c>
      <c r="F15" s="9">
        <f>27.15953307393+5.7</f>
        <v>32.859533073930002</v>
      </c>
      <c r="G15" s="31">
        <f>E15/D15</f>
        <v>0.21299969484284406</v>
      </c>
      <c r="H15" s="95">
        <f>D15-E15</f>
        <v>51580</v>
      </c>
    </row>
    <row r="16" spans="1:8" ht="15.75" x14ac:dyDescent="0.25">
      <c r="A16" s="4" t="s">
        <v>74</v>
      </c>
      <c r="B16" s="4" t="s">
        <v>82</v>
      </c>
      <c r="C16" s="4">
        <v>440</v>
      </c>
      <c r="D16" s="4">
        <v>53697</v>
      </c>
      <c r="E16" s="10">
        <v>14769.999999999998</v>
      </c>
      <c r="F16" s="9">
        <f>33.5681818181818+7.7</f>
        <v>41.268181818181802</v>
      </c>
      <c r="G16" s="31">
        <f>E16/D16</f>
        <v>0.2750619215226176</v>
      </c>
      <c r="H16" s="95">
        <f>D16-E16</f>
        <v>38927</v>
      </c>
    </row>
    <row r="17" spans="1:8" ht="15.75" x14ac:dyDescent="0.25">
      <c r="A17" s="4" t="s">
        <v>12</v>
      </c>
      <c r="B17" s="4" t="s">
        <v>23</v>
      </c>
      <c r="C17" s="4">
        <v>385</v>
      </c>
      <c r="D17" s="4">
        <v>49405</v>
      </c>
      <c r="E17" s="10">
        <v>12518.9</v>
      </c>
      <c r="F17" s="9">
        <f>32.5166233766234+2.7</f>
        <v>35.216623376623403</v>
      </c>
      <c r="G17" s="31">
        <f>E17/D17</f>
        <v>0.2533933812367169</v>
      </c>
      <c r="H17" s="95">
        <f>D17-E17</f>
        <v>36886.1</v>
      </c>
    </row>
    <row r="18" spans="1:8" ht="15.75" x14ac:dyDescent="0.25">
      <c r="A18" s="4" t="s">
        <v>18</v>
      </c>
      <c r="B18" s="4" t="s">
        <v>82</v>
      </c>
      <c r="C18" s="4">
        <v>326</v>
      </c>
      <c r="D18" s="4">
        <v>40229</v>
      </c>
      <c r="E18" s="10">
        <v>10380</v>
      </c>
      <c r="F18" s="9">
        <f>31.840490797546+4.8</f>
        <v>36.640490797546001</v>
      </c>
      <c r="G18" s="31">
        <f>E18/D18</f>
        <v>0.25802281935916876</v>
      </c>
      <c r="H18" s="95">
        <f>D18-E18</f>
        <v>29849</v>
      </c>
    </row>
    <row r="19" spans="1:8" ht="15.75" x14ac:dyDescent="0.25">
      <c r="A19" s="4" t="s">
        <v>31</v>
      </c>
      <c r="B19" s="4" t="s">
        <v>23</v>
      </c>
      <c r="C19" s="4">
        <v>332</v>
      </c>
      <c r="D19" s="4">
        <v>41550</v>
      </c>
      <c r="E19" s="10">
        <v>11962.300000000001</v>
      </c>
      <c r="F19" s="9">
        <f>36.0310240963855+4.2</f>
        <v>40.231024096385504</v>
      </c>
      <c r="G19" s="31">
        <f>E19/D19</f>
        <v>0.28790132370637789</v>
      </c>
      <c r="H19" s="95">
        <f>D19-E19</f>
        <v>29587.699999999997</v>
      </c>
    </row>
    <row r="20" spans="1:8" ht="15.75" x14ac:dyDescent="0.25">
      <c r="A20" s="4" t="s">
        <v>35</v>
      </c>
      <c r="B20" s="4" t="s">
        <v>23</v>
      </c>
      <c r="C20" s="4">
        <v>359</v>
      </c>
      <c r="D20" s="4">
        <v>46154</v>
      </c>
      <c r="E20" s="10">
        <v>16636.2</v>
      </c>
      <c r="F20" s="9">
        <f>46.3403899721448+9.1</f>
        <v>55.4403899721448</v>
      </c>
      <c r="G20" s="31">
        <f>E20/D20</f>
        <v>0.36044979850067166</v>
      </c>
      <c r="H20" s="95">
        <f>D20-E20</f>
        <v>29517.8</v>
      </c>
    </row>
    <row r="21" spans="1:8" ht="15.75" x14ac:dyDescent="0.25">
      <c r="A21" s="4" t="s">
        <v>39</v>
      </c>
      <c r="B21" s="4" t="s">
        <v>93</v>
      </c>
      <c r="C21" s="4">
        <v>277</v>
      </c>
      <c r="D21" s="4">
        <v>35375</v>
      </c>
      <c r="E21" s="10">
        <v>6658.08</v>
      </c>
      <c r="F21" s="9">
        <f>24.0363898916967+6.2</f>
        <v>30.2363898916967</v>
      </c>
      <c r="G21" s="31">
        <f>E21/D21</f>
        <v>0.18821427561837456</v>
      </c>
      <c r="H21" s="95">
        <f>D21-E21</f>
        <v>28716.92</v>
      </c>
    </row>
    <row r="22" spans="1:8" ht="15.75" x14ac:dyDescent="0.25">
      <c r="A22" s="4" t="s">
        <v>22</v>
      </c>
      <c r="B22" s="4" t="s">
        <v>93</v>
      </c>
      <c r="C22" s="4">
        <v>237</v>
      </c>
      <c r="D22" s="4">
        <v>29332</v>
      </c>
      <c r="E22" s="10">
        <v>6863.72</v>
      </c>
      <c r="F22" s="9">
        <f>28.9608438818565+7</f>
        <v>35.960843881856505</v>
      </c>
      <c r="G22" s="31">
        <f>E22/D22</f>
        <v>0.23400109095867994</v>
      </c>
      <c r="H22" s="95">
        <f>D22-E22</f>
        <v>22468.28</v>
      </c>
    </row>
    <row r="23" spans="1:8" ht="15.75" x14ac:dyDescent="0.25">
      <c r="A23" s="4" t="s">
        <v>21</v>
      </c>
      <c r="B23" s="4" t="s">
        <v>82</v>
      </c>
      <c r="C23" s="4">
        <v>222</v>
      </c>
      <c r="D23" s="4">
        <v>29443</v>
      </c>
      <c r="E23" s="10">
        <v>9220</v>
      </c>
      <c r="F23" s="9">
        <f>41.5315315315315+8.9</f>
        <v>50.431531531531498</v>
      </c>
      <c r="G23" s="31">
        <f>E23/D23</f>
        <v>0.3131474374214584</v>
      </c>
      <c r="H23" s="95">
        <f>D23-E23</f>
        <v>20223</v>
      </c>
    </row>
    <row r="24" spans="1:8" ht="15.75" x14ac:dyDescent="0.25">
      <c r="A24" s="4" t="s">
        <v>52</v>
      </c>
      <c r="B24" s="4" t="s">
        <v>93</v>
      </c>
      <c r="C24" s="4">
        <v>199</v>
      </c>
      <c r="D24" s="4">
        <v>25134</v>
      </c>
      <c r="E24" s="10">
        <v>5494.0800000000008</v>
      </c>
      <c r="F24" s="9">
        <f>27.6084422110553+8.2</f>
        <v>35.808442211055301</v>
      </c>
      <c r="G24" s="31">
        <f>E24/D24</f>
        <v>0.21859154929577468</v>
      </c>
      <c r="H24" s="95">
        <f>D24-E24</f>
        <v>19639.919999999998</v>
      </c>
    </row>
    <row r="25" spans="1:8" ht="15.75" x14ac:dyDescent="0.25">
      <c r="A25" s="4" t="s">
        <v>41</v>
      </c>
      <c r="B25" s="4" t="s">
        <v>82</v>
      </c>
      <c r="C25" s="4">
        <v>222</v>
      </c>
      <c r="D25" s="4">
        <v>27517</v>
      </c>
      <c r="E25" s="10">
        <v>8000</v>
      </c>
      <c r="F25" s="9">
        <f>36.036036036036+5.8</f>
        <v>41.836036036035999</v>
      </c>
      <c r="G25" s="31">
        <f>E25/D25</f>
        <v>0.29072936730021443</v>
      </c>
      <c r="H25" s="95">
        <f>D25-E25</f>
        <v>19517</v>
      </c>
    </row>
    <row r="26" spans="1:8" ht="15.75" x14ac:dyDescent="0.25">
      <c r="A26" s="4" t="s">
        <v>8</v>
      </c>
      <c r="B26" s="4" t="s">
        <v>69</v>
      </c>
      <c r="C26" s="4">
        <v>174</v>
      </c>
      <c r="D26" s="4">
        <v>22551</v>
      </c>
      <c r="E26" s="10">
        <v>6026.4836999999998</v>
      </c>
      <c r="F26" s="9">
        <v>34.634963793103445</v>
      </c>
      <c r="G26" s="31">
        <f>E26/D26</f>
        <v>0.26723798057735798</v>
      </c>
      <c r="H26" s="95">
        <f>D26-E26</f>
        <v>16524.516299999999</v>
      </c>
    </row>
    <row r="27" spans="1:8" ht="15.75" x14ac:dyDescent="0.25">
      <c r="A27" s="4" t="s">
        <v>20</v>
      </c>
      <c r="B27" s="4" t="s">
        <v>82</v>
      </c>
      <c r="C27" s="4">
        <v>158</v>
      </c>
      <c r="D27" s="4">
        <v>19943</v>
      </c>
      <c r="E27" s="10">
        <v>4300</v>
      </c>
      <c r="F27" s="9">
        <f>27.2151898734177+5.4</f>
        <v>32.615189873417698</v>
      </c>
      <c r="G27" s="31">
        <f>E27/D27</f>
        <v>0.21561450132878704</v>
      </c>
      <c r="H27" s="95">
        <f>D27-E27</f>
        <v>15643</v>
      </c>
    </row>
    <row r="28" spans="1:8" ht="15.75" x14ac:dyDescent="0.25">
      <c r="A28" s="4" t="s">
        <v>54</v>
      </c>
      <c r="B28" s="4" t="s">
        <v>82</v>
      </c>
      <c r="C28" s="4">
        <v>147</v>
      </c>
      <c r="D28" s="4">
        <v>18262</v>
      </c>
      <c r="E28" s="10">
        <v>6399.9999999999991</v>
      </c>
      <c r="F28" s="9">
        <f>43.5374149659864+3.5</f>
        <v>47.0374149659864</v>
      </c>
      <c r="G28" s="31">
        <f>E28/D28</f>
        <v>0.35045449567407727</v>
      </c>
      <c r="H28" s="95">
        <f>D28-E28</f>
        <v>11862</v>
      </c>
    </row>
    <row r="29" spans="1:8" ht="15.75" x14ac:dyDescent="0.25">
      <c r="A29" s="4" t="s">
        <v>42</v>
      </c>
      <c r="B29" s="4" t="s">
        <v>82</v>
      </c>
      <c r="C29" s="4">
        <v>124</v>
      </c>
      <c r="D29" s="4">
        <v>10520</v>
      </c>
      <c r="E29" s="10">
        <v>3599.9999999999995</v>
      </c>
      <c r="F29" s="9">
        <f>29.0322580645161+5.1</f>
        <v>34.132258064516101</v>
      </c>
      <c r="G29" s="31">
        <f>E29/D29</f>
        <v>0.34220532319391633</v>
      </c>
      <c r="H29" s="95">
        <f>D29-E29</f>
        <v>6920</v>
      </c>
    </row>
    <row r="30" spans="1:8" ht="15.75" x14ac:dyDescent="0.25">
      <c r="A30" s="4" t="s">
        <v>19</v>
      </c>
      <c r="B30" s="4" t="s">
        <v>93</v>
      </c>
      <c r="C30" s="4">
        <v>76</v>
      </c>
      <c r="D30" s="4">
        <v>9686</v>
      </c>
      <c r="E30" s="10">
        <v>2844.0399999999995</v>
      </c>
      <c r="F30" s="9">
        <f>37.4215789473684+8.4</f>
        <v>45.821578947368401</v>
      </c>
      <c r="G30" s="31">
        <f>E30/D30</f>
        <v>0.2936237869089407</v>
      </c>
      <c r="H30" s="95">
        <f>D30-E30</f>
        <v>6841.9600000000009</v>
      </c>
    </row>
    <row r="31" spans="1:8" x14ac:dyDescent="0.25">
      <c r="E31" s="91"/>
    </row>
  </sheetData>
  <sortState xmlns:xlrd2="http://schemas.microsoft.com/office/spreadsheetml/2017/richdata2" ref="A2:H31">
    <sortCondition descending="1" ref="H2:H31"/>
  </sortState>
  <conditionalFormatting sqref="G2:G30">
    <cfRule type="top10" dxfId="31" priority="1" bottom="1" rank="5"/>
    <cfRule type="cellIs" dxfId="30" priority="2" operator="greaterThan">
      <formula>0.25</formula>
    </cfRule>
    <cfRule type="cellIs" dxfId="29" priority="3" operator="greaterThan">
      <formula>0.26</formula>
    </cfRule>
  </conditionalFormatting>
  <conditionalFormatting sqref="G2:G1048576">
    <cfRule type="cellIs" dxfId="28" priority="4" operator="greaterThan">
      <formula>0.29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90A2-27B9-401C-A396-99123CF6A4AC}">
  <dimension ref="A1:H31"/>
  <sheetViews>
    <sheetView zoomScale="106" zoomScaleNormal="106" workbookViewId="0">
      <pane ySplit="1" topLeftCell="A2" activePane="bottomLeft" state="frozen"/>
      <selection pane="bottomLeft" activeCell="A12" sqref="A12:XFD12"/>
    </sheetView>
  </sheetViews>
  <sheetFormatPr defaultRowHeight="15" x14ac:dyDescent="0.25"/>
  <cols>
    <col min="1" max="1" width="18.85546875" bestFit="1" customWidth="1"/>
    <col min="2" max="2" width="14.28515625" bestFit="1" customWidth="1"/>
    <col min="3" max="3" width="14" bestFit="1" customWidth="1"/>
    <col min="4" max="4" width="18" bestFit="1" customWidth="1"/>
    <col min="5" max="5" width="13.85546875" bestFit="1" customWidth="1"/>
    <col min="6" max="6" width="12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x14ac:dyDescent="0.25">
      <c r="A2" s="33" t="s">
        <v>129</v>
      </c>
      <c r="B2" s="33" t="s">
        <v>131</v>
      </c>
      <c r="C2" s="33">
        <v>14556</v>
      </c>
      <c r="D2" s="33">
        <v>1078558</v>
      </c>
      <c r="E2" s="33">
        <v>215267</v>
      </c>
      <c r="F2" s="34">
        <v>18.488884308876067</v>
      </c>
      <c r="G2" s="38">
        <f>E2/D2</f>
        <v>0.1995877829472314</v>
      </c>
      <c r="H2" s="96">
        <f>D2-E2</f>
        <v>863291</v>
      </c>
    </row>
    <row r="3" spans="1:8" ht="15.75" x14ac:dyDescent="0.25">
      <c r="A3" s="4" t="s">
        <v>13</v>
      </c>
      <c r="B3" s="4" t="s">
        <v>125</v>
      </c>
      <c r="C3" s="4">
        <v>2108</v>
      </c>
      <c r="D3" s="4">
        <v>157938</v>
      </c>
      <c r="E3" s="4">
        <v>27267</v>
      </c>
      <c r="F3" s="4">
        <f>12.9+2.4</f>
        <v>15.3</v>
      </c>
      <c r="G3" s="30">
        <f>E3/D3</f>
        <v>0.17264369562739809</v>
      </c>
      <c r="H3" s="96">
        <f>D3-E3</f>
        <v>130671</v>
      </c>
    </row>
    <row r="4" spans="1:8" ht="15.75" x14ac:dyDescent="0.25">
      <c r="A4" s="4" t="s">
        <v>7</v>
      </c>
      <c r="B4" s="4" t="s">
        <v>113</v>
      </c>
      <c r="C4" s="4">
        <v>1132</v>
      </c>
      <c r="D4" s="4">
        <v>84352</v>
      </c>
      <c r="E4" s="4">
        <v>12820</v>
      </c>
      <c r="F4" s="4">
        <f>11.3+3.8</f>
        <v>15.100000000000001</v>
      </c>
      <c r="G4" s="30">
        <f>E4/D4</f>
        <v>0.15198216995447647</v>
      </c>
      <c r="H4" s="96">
        <f>D4-E4</f>
        <v>71532</v>
      </c>
    </row>
    <row r="5" spans="1:8" ht="15.75" x14ac:dyDescent="0.25">
      <c r="A5" s="4" t="s">
        <v>6</v>
      </c>
      <c r="B5" s="4" t="s">
        <v>125</v>
      </c>
      <c r="C5" s="4">
        <v>920</v>
      </c>
      <c r="D5" s="4">
        <v>69383</v>
      </c>
      <c r="E5" s="4">
        <v>13583</v>
      </c>
      <c r="F5" s="4">
        <f>14.8+1.5</f>
        <v>16.3</v>
      </c>
      <c r="G5" s="30">
        <f>E5/D5</f>
        <v>0.19576841589438335</v>
      </c>
      <c r="H5" s="96">
        <f>D5-E5</f>
        <v>55800</v>
      </c>
    </row>
    <row r="6" spans="1:8" ht="15.75" x14ac:dyDescent="0.25">
      <c r="A6" s="4" t="s">
        <v>11</v>
      </c>
      <c r="B6" s="4" t="s">
        <v>125</v>
      </c>
      <c r="C6" s="4">
        <v>891</v>
      </c>
      <c r="D6" s="4">
        <v>68536</v>
      </c>
      <c r="E6" s="4">
        <v>12803</v>
      </c>
      <c r="F6" s="4">
        <f>14.4+1.1</f>
        <v>15.5</v>
      </c>
      <c r="G6" s="30">
        <f>E6/D6</f>
        <v>0.18680693358235087</v>
      </c>
      <c r="H6" s="96">
        <f>D6-E6</f>
        <v>55733</v>
      </c>
    </row>
    <row r="7" spans="1:8" ht="15.75" x14ac:dyDescent="0.25">
      <c r="A7" s="4" t="s">
        <v>24</v>
      </c>
      <c r="B7" s="4" t="s">
        <v>125</v>
      </c>
      <c r="C7" s="4">
        <v>848</v>
      </c>
      <c r="D7" s="4">
        <v>63827</v>
      </c>
      <c r="E7" s="4">
        <v>12633</v>
      </c>
      <c r="F7" s="4">
        <f>14.9+2</f>
        <v>16.899999999999999</v>
      </c>
      <c r="G7" s="30">
        <f>E7/D7</f>
        <v>0.19792564275306687</v>
      </c>
      <c r="H7" s="96">
        <f>D7-E7</f>
        <v>51194</v>
      </c>
    </row>
    <row r="8" spans="1:8" ht="15.75" x14ac:dyDescent="0.25">
      <c r="A8" s="4" t="s">
        <v>15</v>
      </c>
      <c r="B8" s="4" t="s">
        <v>125</v>
      </c>
      <c r="C8" s="4">
        <v>701</v>
      </c>
      <c r="D8" s="4">
        <v>53491</v>
      </c>
      <c r="E8" s="4">
        <v>6464</v>
      </c>
      <c r="F8" s="4">
        <f>9.2+5.5</f>
        <v>14.7</v>
      </c>
      <c r="G8" s="30">
        <f>E8/D8</f>
        <v>0.12084275859490382</v>
      </c>
      <c r="H8" s="96">
        <f>D8-E8</f>
        <v>47027</v>
      </c>
    </row>
    <row r="9" spans="1:8" ht="15.75" x14ac:dyDescent="0.25">
      <c r="A9" s="4" t="s">
        <v>16</v>
      </c>
      <c r="B9" s="4" t="s">
        <v>125</v>
      </c>
      <c r="C9" s="4">
        <v>729</v>
      </c>
      <c r="D9" s="4">
        <v>56071</v>
      </c>
      <c r="E9" s="4">
        <v>10294</v>
      </c>
      <c r="F9" s="4">
        <f>14.1+1.5</f>
        <v>15.6</v>
      </c>
      <c r="G9" s="30">
        <f>E9/D9</f>
        <v>0.18358866437195698</v>
      </c>
      <c r="H9" s="96">
        <f>D9-E9</f>
        <v>45777</v>
      </c>
    </row>
    <row r="10" spans="1:8" ht="15.75" x14ac:dyDescent="0.25">
      <c r="A10" s="4" t="s">
        <v>44</v>
      </c>
      <c r="B10" s="4" t="s">
        <v>81</v>
      </c>
      <c r="C10" s="4">
        <v>622</v>
      </c>
      <c r="D10" s="4">
        <v>48290</v>
      </c>
      <c r="E10" s="4">
        <v>6689</v>
      </c>
      <c r="F10" s="4">
        <f>10.8+3</f>
        <v>13.8</v>
      </c>
      <c r="G10" s="30">
        <f>E10/D10</f>
        <v>0.13851729136467178</v>
      </c>
      <c r="H10" s="96">
        <f>D10-E10</f>
        <v>41601</v>
      </c>
    </row>
    <row r="11" spans="1:8" ht="15.75" x14ac:dyDescent="0.25">
      <c r="A11" s="4" t="s">
        <v>17</v>
      </c>
      <c r="B11" s="4" t="s">
        <v>125</v>
      </c>
      <c r="C11" s="4">
        <v>698</v>
      </c>
      <c r="D11" s="4">
        <v>50587</v>
      </c>
      <c r="E11" s="4">
        <v>10498</v>
      </c>
      <c r="F11" s="4">
        <f>15+2.3</f>
        <v>17.3</v>
      </c>
      <c r="G11" s="30">
        <f>E11/D11</f>
        <v>0.20752367208966729</v>
      </c>
      <c r="H11" s="96">
        <f>D11-E11</f>
        <v>40089</v>
      </c>
    </row>
    <row r="12" spans="1:8" ht="15.75" x14ac:dyDescent="0.25">
      <c r="A12" s="4" t="s">
        <v>59</v>
      </c>
      <c r="B12" s="4" t="s">
        <v>58</v>
      </c>
      <c r="C12" s="4">
        <v>693</v>
      </c>
      <c r="D12" s="4">
        <v>52799</v>
      </c>
      <c r="E12" s="4">
        <v>12756</v>
      </c>
      <c r="F12" s="9">
        <f>E12/C12+5.1</f>
        <v>23.506926406926404</v>
      </c>
      <c r="G12" s="30">
        <f>E12/D12</f>
        <v>0.24159548476296899</v>
      </c>
      <c r="H12" s="96">
        <f>D12-E12</f>
        <v>40043</v>
      </c>
    </row>
    <row r="13" spans="1:8" ht="15.75" x14ac:dyDescent="0.25">
      <c r="A13" s="4" t="s">
        <v>47</v>
      </c>
      <c r="B13" s="4" t="s">
        <v>58</v>
      </c>
      <c r="C13" s="4">
        <v>569</v>
      </c>
      <c r="D13" s="4">
        <v>43789</v>
      </c>
      <c r="E13" s="4">
        <v>9169</v>
      </c>
      <c r="F13" s="9">
        <f>E13/C13+5.6</f>
        <v>21.714235500878736</v>
      </c>
      <c r="G13" s="30">
        <f>E13/D13</f>
        <v>0.20939048619516318</v>
      </c>
      <c r="H13" s="96">
        <f>D13-E13</f>
        <v>34620</v>
      </c>
    </row>
    <row r="14" spans="1:8" ht="15.75" x14ac:dyDescent="0.25">
      <c r="A14" s="4" t="s">
        <v>55</v>
      </c>
      <c r="B14" s="4" t="s">
        <v>58</v>
      </c>
      <c r="C14" s="4">
        <v>529</v>
      </c>
      <c r="D14" s="4">
        <v>39612</v>
      </c>
      <c r="E14" s="4">
        <v>8642</v>
      </c>
      <c r="F14" s="9">
        <f>E14/C14+5.3</f>
        <v>21.636483931947069</v>
      </c>
      <c r="G14" s="30">
        <f>E14/D14</f>
        <v>0.21816621225891145</v>
      </c>
      <c r="H14" s="96">
        <f>D14-E14</f>
        <v>30970</v>
      </c>
    </row>
    <row r="15" spans="1:8" ht="15.75" x14ac:dyDescent="0.25">
      <c r="A15" s="4" t="s">
        <v>9</v>
      </c>
      <c r="B15" s="4" t="s">
        <v>81</v>
      </c>
      <c r="C15" s="4">
        <v>444</v>
      </c>
      <c r="D15" s="4">
        <v>32488</v>
      </c>
      <c r="E15" s="4">
        <v>5607</v>
      </c>
      <c r="F15" s="4">
        <f>12.6+5.7</f>
        <v>18.3</v>
      </c>
      <c r="G15" s="30">
        <f>E15/D15</f>
        <v>0.1725868012804728</v>
      </c>
      <c r="H15" s="96">
        <f>D15-E15</f>
        <v>26881</v>
      </c>
    </row>
    <row r="16" spans="1:8" ht="15.75" x14ac:dyDescent="0.25">
      <c r="A16" s="4" t="s">
        <v>74</v>
      </c>
      <c r="B16" s="4" t="s">
        <v>81</v>
      </c>
      <c r="C16" s="4">
        <v>436</v>
      </c>
      <c r="D16" s="4">
        <v>31872</v>
      </c>
      <c r="E16" s="4">
        <v>7384</v>
      </c>
      <c r="F16" s="4">
        <f>16.9+7.7</f>
        <v>24.599999999999998</v>
      </c>
      <c r="G16" s="30">
        <f>E16/D16</f>
        <v>0.23167670682730923</v>
      </c>
      <c r="H16" s="96">
        <f>D16-E16</f>
        <v>24488</v>
      </c>
    </row>
    <row r="17" spans="1:8" ht="15.75" x14ac:dyDescent="0.25">
      <c r="A17" s="4" t="s">
        <v>18</v>
      </c>
      <c r="B17" s="4" t="s">
        <v>81</v>
      </c>
      <c r="C17" s="4">
        <v>377</v>
      </c>
      <c r="D17" s="4">
        <v>25608</v>
      </c>
      <c r="E17" s="4">
        <v>4725</v>
      </c>
      <c r="F17" s="9">
        <f>12.5331564986737+4.8</f>
        <v>17.333156498673699</v>
      </c>
      <c r="G17" s="30">
        <f>E17/D17</f>
        <v>0.18451265229615746</v>
      </c>
      <c r="H17" s="96">
        <f>D17-E17</f>
        <v>20883</v>
      </c>
    </row>
    <row r="18" spans="1:8" ht="15.75" x14ac:dyDescent="0.25">
      <c r="A18" s="4" t="s">
        <v>35</v>
      </c>
      <c r="B18" s="4" t="s">
        <v>125</v>
      </c>
      <c r="C18" s="4">
        <v>305</v>
      </c>
      <c r="D18" s="4">
        <v>23332</v>
      </c>
      <c r="E18" s="4">
        <v>5526</v>
      </c>
      <c r="F18" s="4">
        <f>18.1+9.1</f>
        <v>27.200000000000003</v>
      </c>
      <c r="G18" s="30">
        <f>E18/D18</f>
        <v>0.23684210526315788</v>
      </c>
      <c r="H18" s="96">
        <f>D18-E18</f>
        <v>17806</v>
      </c>
    </row>
    <row r="19" spans="1:8" ht="15.75" x14ac:dyDescent="0.25">
      <c r="A19" s="4" t="s">
        <v>31</v>
      </c>
      <c r="B19" s="4" t="s">
        <v>125</v>
      </c>
      <c r="C19" s="4">
        <v>312</v>
      </c>
      <c r="D19" s="4">
        <v>23088</v>
      </c>
      <c r="E19" s="4">
        <v>6159</v>
      </c>
      <c r="F19" s="4">
        <f>19.7+4.2</f>
        <v>23.9</v>
      </c>
      <c r="G19" s="30">
        <f>E19/D19</f>
        <v>0.26676195426195426</v>
      </c>
      <c r="H19" s="96">
        <f>D19-E19</f>
        <v>16929</v>
      </c>
    </row>
    <row r="20" spans="1:8" ht="15.75" x14ac:dyDescent="0.25">
      <c r="A20" s="4" t="s">
        <v>12</v>
      </c>
      <c r="B20" s="4" t="s">
        <v>125</v>
      </c>
      <c r="C20" s="4">
        <v>299</v>
      </c>
      <c r="D20" s="4">
        <v>22669</v>
      </c>
      <c r="E20" s="4">
        <v>7379</v>
      </c>
      <c r="F20" s="4">
        <f>24.7+2.7</f>
        <v>27.4</v>
      </c>
      <c r="G20" s="30">
        <f>E20/D20</f>
        <v>0.32551060920199393</v>
      </c>
      <c r="H20" s="96">
        <f>D20-E20</f>
        <v>15290</v>
      </c>
    </row>
    <row r="21" spans="1:8" ht="15.75" x14ac:dyDescent="0.25">
      <c r="A21" s="4" t="s">
        <v>41</v>
      </c>
      <c r="B21" s="4" t="s">
        <v>81</v>
      </c>
      <c r="C21" s="4">
        <v>228</v>
      </c>
      <c r="D21" s="4">
        <v>17390</v>
      </c>
      <c r="E21" s="4">
        <v>2940</v>
      </c>
      <c r="F21" s="4">
        <f>12.9+5.8</f>
        <v>18.7</v>
      </c>
      <c r="G21" s="30">
        <f>E21/D21</f>
        <v>0.16906267970097758</v>
      </c>
      <c r="H21" s="96">
        <f>D21-E21</f>
        <v>14450</v>
      </c>
    </row>
    <row r="22" spans="1:8" ht="15.75" x14ac:dyDescent="0.25">
      <c r="A22" s="4" t="s">
        <v>21</v>
      </c>
      <c r="B22" s="4" t="s">
        <v>81</v>
      </c>
      <c r="C22" s="4">
        <v>236</v>
      </c>
      <c r="D22" s="4">
        <v>17851</v>
      </c>
      <c r="E22" s="4">
        <v>4095</v>
      </c>
      <c r="F22" s="4">
        <f>17.4+8.9</f>
        <v>26.299999999999997</v>
      </c>
      <c r="G22" s="30">
        <f>E22/D22</f>
        <v>0.2293989132261498</v>
      </c>
      <c r="H22" s="96">
        <f>D22-E22</f>
        <v>13756</v>
      </c>
    </row>
    <row r="23" spans="1:8" ht="15.75" x14ac:dyDescent="0.25">
      <c r="A23" s="4" t="s">
        <v>39</v>
      </c>
      <c r="B23" s="4" t="s">
        <v>58</v>
      </c>
      <c r="C23" s="4">
        <v>219</v>
      </c>
      <c r="D23" s="4">
        <v>16511</v>
      </c>
      <c r="E23" s="4">
        <v>4086</v>
      </c>
      <c r="F23" s="9">
        <f>E23/C23+6.2</f>
        <v>24.857534246575341</v>
      </c>
      <c r="G23" s="30">
        <f>E23/D23</f>
        <v>0.24747138271455393</v>
      </c>
      <c r="H23" s="96">
        <f>D23-E23</f>
        <v>12425</v>
      </c>
    </row>
    <row r="24" spans="1:8" ht="15.75" x14ac:dyDescent="0.25">
      <c r="A24" s="4" t="s">
        <v>22</v>
      </c>
      <c r="B24" s="4" t="s">
        <v>58</v>
      </c>
      <c r="C24" s="4">
        <v>221</v>
      </c>
      <c r="D24" s="4">
        <v>16431</v>
      </c>
      <c r="E24" s="4">
        <v>5665</v>
      </c>
      <c r="F24" s="9">
        <f>E24/C24+7</f>
        <v>32.633484162895925</v>
      </c>
      <c r="G24" s="30">
        <f>E24/D24</f>
        <v>0.34477512019962264</v>
      </c>
      <c r="H24" s="96">
        <f>D24-E24</f>
        <v>10766</v>
      </c>
    </row>
    <row r="25" spans="1:8" ht="15.75" x14ac:dyDescent="0.25">
      <c r="A25" s="4" t="s">
        <v>20</v>
      </c>
      <c r="B25" s="4" t="s">
        <v>81</v>
      </c>
      <c r="C25" s="4">
        <v>184</v>
      </c>
      <c r="D25" s="4">
        <v>12854</v>
      </c>
      <c r="E25" s="4">
        <v>2657</v>
      </c>
      <c r="F25" s="4">
        <f>14.4+5.4</f>
        <v>19.8</v>
      </c>
      <c r="G25" s="30">
        <f>E25/D25</f>
        <v>0.20670608370935117</v>
      </c>
      <c r="H25" s="96">
        <f>D25-E25</f>
        <v>10197</v>
      </c>
    </row>
    <row r="26" spans="1:8" ht="15.75" x14ac:dyDescent="0.25">
      <c r="A26" s="4" t="s">
        <v>52</v>
      </c>
      <c r="B26" s="4" t="s">
        <v>58</v>
      </c>
      <c r="C26" s="4">
        <v>175</v>
      </c>
      <c r="D26" s="4">
        <v>13142</v>
      </c>
      <c r="E26" s="4">
        <v>3933</v>
      </c>
      <c r="F26" s="9">
        <f>E26/C26+8.2</f>
        <v>30.674285714285713</v>
      </c>
      <c r="G26" s="30">
        <f>E26/D26</f>
        <v>0.2992695175772333</v>
      </c>
      <c r="H26" s="96">
        <f>D26-E26</f>
        <v>9209</v>
      </c>
    </row>
    <row r="27" spans="1:8" ht="15.75" x14ac:dyDescent="0.25">
      <c r="A27" s="4" t="s">
        <v>54</v>
      </c>
      <c r="B27" s="4" t="s">
        <v>81</v>
      </c>
      <c r="C27" s="4">
        <v>203</v>
      </c>
      <c r="D27" s="4">
        <v>11370</v>
      </c>
      <c r="E27" s="4">
        <v>2772</v>
      </c>
      <c r="F27" s="4">
        <f>13.7+3.5</f>
        <v>17.2</v>
      </c>
      <c r="G27" s="30">
        <f>E27/D27</f>
        <v>0.24379947229551452</v>
      </c>
      <c r="H27" s="96">
        <f>D27-E27</f>
        <v>8598</v>
      </c>
    </row>
    <row r="28" spans="1:8" ht="15.75" x14ac:dyDescent="0.25">
      <c r="A28" s="4" t="s">
        <v>8</v>
      </c>
      <c r="B28" s="4" t="s">
        <v>108</v>
      </c>
      <c r="C28" s="4">
        <v>159</v>
      </c>
      <c r="D28" s="4">
        <v>12342</v>
      </c>
      <c r="E28" s="4">
        <v>4596</v>
      </c>
      <c r="F28" s="4">
        <f>28.9</f>
        <v>28.9</v>
      </c>
      <c r="G28" s="30">
        <f>E28/D28</f>
        <v>0.37238697131745258</v>
      </c>
      <c r="H28" s="96">
        <f>D28-E28</f>
        <v>7746</v>
      </c>
    </row>
    <row r="29" spans="1:8" ht="15.75" x14ac:dyDescent="0.25">
      <c r="A29" s="4" t="s">
        <v>42</v>
      </c>
      <c r="B29" s="4" t="s">
        <v>81</v>
      </c>
      <c r="C29" s="4">
        <v>224</v>
      </c>
      <c r="D29" s="4">
        <v>7444</v>
      </c>
      <c r="E29" s="4">
        <v>2720</v>
      </c>
      <c r="F29" s="4">
        <f>12.1+5.1</f>
        <v>17.2</v>
      </c>
      <c r="G29" s="30">
        <f>E29/D29</f>
        <v>0.36539494895217622</v>
      </c>
      <c r="H29" s="96">
        <f>D29-E29</f>
        <v>4724</v>
      </c>
    </row>
    <row r="30" spans="1:8" ht="15.75" x14ac:dyDescent="0.25">
      <c r="A30" s="4" t="s">
        <v>19</v>
      </c>
      <c r="B30" s="4" t="s">
        <v>58</v>
      </c>
      <c r="C30" s="4">
        <v>62</v>
      </c>
      <c r="D30" s="4">
        <v>4834</v>
      </c>
      <c r="E30" s="4">
        <v>817</v>
      </c>
      <c r="F30" s="9">
        <f>E30/C30+8.4</f>
        <v>21.57741935483871</v>
      </c>
      <c r="G30" s="30">
        <f>E30/D30</f>
        <v>0.16901117087298304</v>
      </c>
      <c r="H30" s="96">
        <f>D30-E30</f>
        <v>4017</v>
      </c>
    </row>
    <row r="31" spans="1:8" ht="15.75" x14ac:dyDescent="0.25">
      <c r="A31" s="4" t="s">
        <v>40</v>
      </c>
      <c r="B31" s="4" t="s">
        <v>81</v>
      </c>
      <c r="C31" s="4">
        <v>32</v>
      </c>
      <c r="D31" s="4">
        <v>657</v>
      </c>
      <c r="E31" s="4">
        <v>588</v>
      </c>
      <c r="F31" s="4">
        <f>18.4+8.3</f>
        <v>26.7</v>
      </c>
      <c r="G31" s="30">
        <f>E31/D31</f>
        <v>0.89497716894977164</v>
      </c>
      <c r="H31" s="96">
        <f>D31-E31</f>
        <v>69</v>
      </c>
    </row>
  </sheetData>
  <sortState xmlns:xlrd2="http://schemas.microsoft.com/office/spreadsheetml/2017/richdata2" ref="A2:H31">
    <sortCondition descending="1" ref="H1:H31"/>
  </sortState>
  <conditionalFormatting sqref="G2:G31">
    <cfRule type="top10" dxfId="27" priority="1" bottom="1" rank="5"/>
    <cfRule type="cellIs" dxfId="26" priority="2" operator="greaterThan">
      <formula>0.22</formula>
    </cfRule>
    <cfRule type="cellIs" dxfId="25" priority="3" operator="greaterThan">
      <formula>0.25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0A50-7321-4E8E-8707-15BAB48C1280}">
  <dimension ref="A1:H32"/>
  <sheetViews>
    <sheetView zoomScale="96" zoomScaleNormal="96" workbookViewId="0">
      <pane ySplit="1" topLeftCell="A2" activePane="bottomLeft" state="frozen"/>
      <selection pane="bottomLeft" activeCell="H2" sqref="H2"/>
    </sheetView>
  </sheetViews>
  <sheetFormatPr defaultRowHeight="18.75" x14ac:dyDescent="0.3"/>
  <cols>
    <col min="1" max="1" width="22" style="37" bestFit="1" customWidth="1"/>
    <col min="2" max="2" width="17.7109375" style="37" bestFit="1" customWidth="1"/>
    <col min="3" max="3" width="14.85546875" style="37" bestFit="1" customWidth="1"/>
    <col min="4" max="4" width="21" style="37" bestFit="1" customWidth="1"/>
    <col min="5" max="5" width="16" style="37" bestFit="1" customWidth="1"/>
    <col min="6" max="6" width="14.140625" style="37" bestFit="1" customWidth="1"/>
    <col min="7" max="7" width="9.28515625" style="37" bestFit="1" customWidth="1"/>
    <col min="8" max="8" width="18.28515625" style="37" bestFit="1" customWidth="1"/>
    <col min="9" max="16384" width="9.140625" style="37"/>
  </cols>
  <sheetData>
    <row r="1" spans="1:8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126</v>
      </c>
      <c r="H1" s="44" t="s">
        <v>159</v>
      </c>
    </row>
    <row r="2" spans="1:8" x14ac:dyDescent="0.3">
      <c r="A2" s="29" t="s">
        <v>129</v>
      </c>
      <c r="B2" s="29" t="s">
        <v>132</v>
      </c>
      <c r="C2" s="29">
        <v>28586</v>
      </c>
      <c r="D2" s="90">
        <v>1539865</v>
      </c>
      <c r="E2" s="90">
        <v>278091</v>
      </c>
      <c r="F2" s="29">
        <v>13.428223605960959</v>
      </c>
      <c r="G2" s="42">
        <f>E2/D2</f>
        <v>0.18059440275608576</v>
      </c>
      <c r="H2" s="105">
        <f>D2-E2</f>
        <v>1261774</v>
      </c>
    </row>
    <row r="3" spans="1:8" x14ac:dyDescent="0.3">
      <c r="A3" s="45" t="s">
        <v>13</v>
      </c>
      <c r="B3" s="45" t="s">
        <v>10</v>
      </c>
      <c r="C3" s="45">
        <v>2507</v>
      </c>
      <c r="D3" s="89">
        <v>131740</v>
      </c>
      <c r="E3" s="89">
        <v>18760</v>
      </c>
      <c r="F3" s="45">
        <f>7.5+2.4</f>
        <v>9.9</v>
      </c>
      <c r="G3" s="46">
        <f>E3/D3</f>
        <v>0.14240170031880978</v>
      </c>
      <c r="H3" s="82">
        <f>D3-E3</f>
        <v>112980</v>
      </c>
    </row>
    <row r="4" spans="1:8" x14ac:dyDescent="0.3">
      <c r="A4" s="45" t="s">
        <v>7</v>
      </c>
      <c r="B4" s="45" t="s">
        <v>115</v>
      </c>
      <c r="C4" s="45">
        <v>2112</v>
      </c>
      <c r="D4" s="89">
        <v>114492</v>
      </c>
      <c r="E4" s="89">
        <v>15047</v>
      </c>
      <c r="F4" s="47">
        <f>7.1+3.8</f>
        <v>10.899999999999999</v>
      </c>
      <c r="G4" s="46">
        <f>E4/D4</f>
        <v>0.13142402962652414</v>
      </c>
      <c r="H4" s="82">
        <f>D4-E4</f>
        <v>99445</v>
      </c>
    </row>
    <row r="5" spans="1:8" x14ac:dyDescent="0.3">
      <c r="A5" s="45" t="s">
        <v>24</v>
      </c>
      <c r="B5" s="45" t="s">
        <v>10</v>
      </c>
      <c r="C5" s="45">
        <v>2184</v>
      </c>
      <c r="D5" s="89">
        <v>120070</v>
      </c>
      <c r="E5" s="89">
        <v>22824</v>
      </c>
      <c r="F5" s="45">
        <f>10.5+2</f>
        <v>12.5</v>
      </c>
      <c r="G5" s="46">
        <f>E5/D5</f>
        <v>0.19008911468310152</v>
      </c>
      <c r="H5" s="82">
        <f>D5-E5</f>
        <v>97246</v>
      </c>
    </row>
    <row r="6" spans="1:8" x14ac:dyDescent="0.3">
      <c r="A6" s="45" t="s">
        <v>16</v>
      </c>
      <c r="B6" s="45" t="s">
        <v>10</v>
      </c>
      <c r="C6" s="45">
        <v>1871</v>
      </c>
      <c r="D6" s="89">
        <v>104411</v>
      </c>
      <c r="E6" s="89">
        <v>19536</v>
      </c>
      <c r="F6" s="45">
        <v>10.4</v>
      </c>
      <c r="G6" s="46">
        <f>E6/D6</f>
        <v>0.18710672247177021</v>
      </c>
      <c r="H6" s="82">
        <f>D6-E6</f>
        <v>84875</v>
      </c>
    </row>
    <row r="7" spans="1:8" x14ac:dyDescent="0.3">
      <c r="A7" s="45" t="s">
        <v>44</v>
      </c>
      <c r="B7" s="45" t="s">
        <v>85</v>
      </c>
      <c r="C7" s="45">
        <v>1633</v>
      </c>
      <c r="D7" s="89">
        <v>89878</v>
      </c>
      <c r="E7" s="89">
        <v>12348</v>
      </c>
      <c r="F7" s="35">
        <f>E7/C7+3</f>
        <v>10.561543172075934</v>
      </c>
      <c r="G7" s="46">
        <f>E7/D7</f>
        <v>0.13738623467366876</v>
      </c>
      <c r="H7" s="82">
        <f>D7-E7</f>
        <v>77530</v>
      </c>
    </row>
    <row r="8" spans="1:8" x14ac:dyDescent="0.3">
      <c r="A8" s="45" t="s">
        <v>11</v>
      </c>
      <c r="B8" s="45" t="s">
        <v>10</v>
      </c>
      <c r="C8" s="45">
        <v>1664</v>
      </c>
      <c r="D8" s="89">
        <v>90801</v>
      </c>
      <c r="E8" s="89">
        <v>18226</v>
      </c>
      <c r="F8" s="45">
        <f>11+1.1</f>
        <v>12.1</v>
      </c>
      <c r="G8" s="46">
        <f>E8/D8</f>
        <v>0.20072466162266936</v>
      </c>
      <c r="H8" s="82">
        <f>D8-E8</f>
        <v>72575</v>
      </c>
    </row>
    <row r="9" spans="1:8" x14ac:dyDescent="0.3">
      <c r="A9" s="45" t="s">
        <v>17</v>
      </c>
      <c r="B9" s="45" t="s">
        <v>10</v>
      </c>
      <c r="C9" s="45">
        <v>1642</v>
      </c>
      <c r="D9" s="89">
        <v>86193</v>
      </c>
      <c r="E9" s="89">
        <v>17528</v>
      </c>
      <c r="F9" s="45">
        <f>10.7+2.3</f>
        <v>13</v>
      </c>
      <c r="G9" s="46">
        <f>E9/D9</f>
        <v>0.20335758124209621</v>
      </c>
      <c r="H9" s="82">
        <f>D9-E9</f>
        <v>68665</v>
      </c>
    </row>
    <row r="10" spans="1:8" x14ac:dyDescent="0.3">
      <c r="A10" s="45" t="s">
        <v>12</v>
      </c>
      <c r="B10" s="45" t="s">
        <v>10</v>
      </c>
      <c r="C10" s="45">
        <v>1454</v>
      </c>
      <c r="D10" s="89">
        <v>80022</v>
      </c>
      <c r="E10" s="89">
        <v>15248</v>
      </c>
      <c r="F10" s="45">
        <f>10.5+2.7</f>
        <v>13.2</v>
      </c>
      <c r="G10" s="46">
        <f>E10/D10</f>
        <v>0.19054759941016219</v>
      </c>
      <c r="H10" s="82">
        <f>D10-E10</f>
        <v>64774</v>
      </c>
    </row>
    <row r="11" spans="1:8" x14ac:dyDescent="0.3">
      <c r="A11" s="45" t="s">
        <v>15</v>
      </c>
      <c r="B11" s="45" t="s">
        <v>10</v>
      </c>
      <c r="C11" s="45">
        <v>1398</v>
      </c>
      <c r="D11" s="89">
        <v>76724</v>
      </c>
      <c r="E11" s="89">
        <v>14973</v>
      </c>
      <c r="F11" s="35">
        <f>10.7+5</f>
        <v>15.7</v>
      </c>
      <c r="G11" s="46">
        <f>E11/D11</f>
        <v>0.19515405870392577</v>
      </c>
      <c r="H11" s="82">
        <f>D11-E11</f>
        <v>61751</v>
      </c>
    </row>
    <row r="12" spans="1:8" x14ac:dyDescent="0.3">
      <c r="A12" s="45" t="s">
        <v>59</v>
      </c>
      <c r="B12" s="45" t="s">
        <v>56</v>
      </c>
      <c r="C12" s="45">
        <v>1204</v>
      </c>
      <c r="D12" s="89">
        <v>64545</v>
      </c>
      <c r="E12" s="89">
        <v>12436</v>
      </c>
      <c r="F12" s="35">
        <f>E12/C12+5.1</f>
        <v>15.428903654485049</v>
      </c>
      <c r="G12" s="46">
        <f>E12/D12</f>
        <v>0.19267177937872801</v>
      </c>
      <c r="H12" s="82">
        <f>D12-E12</f>
        <v>52109</v>
      </c>
    </row>
    <row r="13" spans="1:8" x14ac:dyDescent="0.3">
      <c r="A13" s="45" t="s">
        <v>6</v>
      </c>
      <c r="B13" s="45" t="s">
        <v>10</v>
      </c>
      <c r="C13" s="45">
        <v>1216</v>
      </c>
      <c r="D13" s="89">
        <v>64831</v>
      </c>
      <c r="E13" s="89">
        <v>14763</v>
      </c>
      <c r="F13" s="45">
        <v>12.1</v>
      </c>
      <c r="G13" s="46">
        <f>E13/D13</f>
        <v>0.22771513627739814</v>
      </c>
      <c r="H13" s="82">
        <f>D13-E13</f>
        <v>50068</v>
      </c>
    </row>
    <row r="14" spans="1:8" x14ac:dyDescent="0.3">
      <c r="A14" s="45" t="s">
        <v>47</v>
      </c>
      <c r="B14" s="45" t="s">
        <v>56</v>
      </c>
      <c r="C14" s="45">
        <v>993</v>
      </c>
      <c r="D14" s="89">
        <v>53971</v>
      </c>
      <c r="E14" s="89">
        <v>9569</v>
      </c>
      <c r="F14" s="35">
        <f>E14/C14+5.6</f>
        <v>15.236455186304129</v>
      </c>
      <c r="G14" s="46">
        <f>E14/D14</f>
        <v>0.17729891979025772</v>
      </c>
      <c r="H14" s="82">
        <f>D14-E14</f>
        <v>44402</v>
      </c>
    </row>
    <row r="15" spans="1:8" x14ac:dyDescent="0.3">
      <c r="A15" s="45" t="s">
        <v>9</v>
      </c>
      <c r="B15" s="45" t="s">
        <v>85</v>
      </c>
      <c r="C15" s="45">
        <v>881</v>
      </c>
      <c r="D15" s="89">
        <v>48348</v>
      </c>
      <c r="E15" s="89">
        <v>7000</v>
      </c>
      <c r="F15" s="35">
        <f>E15/C15+5.7</f>
        <v>13.645516458569807</v>
      </c>
      <c r="G15" s="46">
        <f>E15/D15</f>
        <v>0.14478365185736741</v>
      </c>
      <c r="H15" s="82">
        <f>D15-E15</f>
        <v>41348</v>
      </c>
    </row>
    <row r="16" spans="1:8" x14ac:dyDescent="0.3">
      <c r="A16" s="45" t="s">
        <v>55</v>
      </c>
      <c r="B16" s="45" t="s">
        <v>56</v>
      </c>
      <c r="C16" s="45">
        <v>838</v>
      </c>
      <c r="D16" s="89">
        <v>44270</v>
      </c>
      <c r="E16" s="89">
        <v>7941</v>
      </c>
      <c r="F16" s="35">
        <f>E16/C16+5.3</f>
        <v>14.776133651551312</v>
      </c>
      <c r="G16" s="46">
        <f>E16/D16</f>
        <v>0.17937655297040886</v>
      </c>
      <c r="H16" s="82">
        <f>D16-E16</f>
        <v>36329</v>
      </c>
    </row>
    <row r="17" spans="1:8" x14ac:dyDescent="0.3">
      <c r="A17" s="45" t="s">
        <v>22</v>
      </c>
      <c r="B17" s="45" t="s">
        <v>56</v>
      </c>
      <c r="C17" s="45">
        <v>774</v>
      </c>
      <c r="D17" s="89">
        <v>40846</v>
      </c>
      <c r="E17" s="89">
        <v>7950</v>
      </c>
      <c r="F17" s="35">
        <f>E17/C17+7</f>
        <v>17.271317829457367</v>
      </c>
      <c r="G17" s="46">
        <f>E17/D17</f>
        <v>0.19463350144444988</v>
      </c>
      <c r="H17" s="82">
        <f>D17-E17</f>
        <v>32896</v>
      </c>
    </row>
    <row r="18" spans="1:8" x14ac:dyDescent="0.3">
      <c r="A18" s="45" t="s">
        <v>35</v>
      </c>
      <c r="B18" s="45" t="s">
        <v>10</v>
      </c>
      <c r="C18" s="45">
        <v>586</v>
      </c>
      <c r="D18" s="45">
        <v>32324</v>
      </c>
      <c r="E18" s="45">
        <v>5093</v>
      </c>
      <c r="F18" s="35">
        <f>11.2+9.1</f>
        <v>20.299999999999997</v>
      </c>
      <c r="G18" s="46">
        <f>E18/D18</f>
        <v>0.15756094542754609</v>
      </c>
      <c r="H18" s="82">
        <f>D18-E18</f>
        <v>27231</v>
      </c>
    </row>
    <row r="19" spans="1:8" x14ac:dyDescent="0.3">
      <c r="A19" s="45" t="s">
        <v>74</v>
      </c>
      <c r="B19" s="45" t="s">
        <v>85</v>
      </c>
      <c r="C19" s="45">
        <v>621</v>
      </c>
      <c r="D19" s="89">
        <v>31708</v>
      </c>
      <c r="E19" s="89">
        <v>5341</v>
      </c>
      <c r="F19" s="35">
        <f>E19/C19+7.7</f>
        <v>16.300644122383254</v>
      </c>
      <c r="G19" s="46">
        <f>E19/D19</f>
        <v>0.16844329506749087</v>
      </c>
      <c r="H19" s="82">
        <f>D19-E19</f>
        <v>26367</v>
      </c>
    </row>
    <row r="20" spans="1:8" x14ac:dyDescent="0.3">
      <c r="A20" s="45" t="s">
        <v>31</v>
      </c>
      <c r="B20" s="45" t="s">
        <v>10</v>
      </c>
      <c r="C20" s="45">
        <v>618</v>
      </c>
      <c r="D20" s="89">
        <v>32480</v>
      </c>
      <c r="E20" s="89">
        <v>6441</v>
      </c>
      <c r="F20" s="45">
        <f>10.4+4.2</f>
        <v>14.600000000000001</v>
      </c>
      <c r="G20" s="46">
        <f>E20/D20</f>
        <v>0.19830665024630542</v>
      </c>
      <c r="H20" s="82">
        <f>D20-E20</f>
        <v>26039</v>
      </c>
    </row>
    <row r="21" spans="1:8" x14ac:dyDescent="0.3">
      <c r="A21" s="45" t="s">
        <v>18</v>
      </c>
      <c r="B21" s="45" t="s">
        <v>85</v>
      </c>
      <c r="C21" s="45">
        <v>572</v>
      </c>
      <c r="D21" s="89">
        <v>28519</v>
      </c>
      <c r="E21" s="89">
        <v>4550</v>
      </c>
      <c r="F21" s="35">
        <f>E21/C21+4.8</f>
        <v>12.754545454545454</v>
      </c>
      <c r="G21" s="46">
        <f>E21/D21</f>
        <v>0.15954276096637329</v>
      </c>
      <c r="H21" s="82">
        <f>D21-E21</f>
        <v>23969</v>
      </c>
    </row>
    <row r="22" spans="1:8" x14ac:dyDescent="0.3">
      <c r="A22" s="45" t="s">
        <v>39</v>
      </c>
      <c r="B22" s="45" t="s">
        <v>56</v>
      </c>
      <c r="C22" s="45">
        <v>518</v>
      </c>
      <c r="D22" s="89">
        <v>27932</v>
      </c>
      <c r="E22" s="89">
        <v>5205</v>
      </c>
      <c r="F22" s="35">
        <f>E22/C22+6.2</f>
        <v>16.248262548262549</v>
      </c>
      <c r="G22" s="46">
        <f>E22/D22</f>
        <v>0.18634541028211371</v>
      </c>
      <c r="H22" s="82">
        <f>D22-E22</f>
        <v>22727</v>
      </c>
    </row>
    <row r="23" spans="1:8" x14ac:dyDescent="0.3">
      <c r="A23" s="45" t="s">
        <v>41</v>
      </c>
      <c r="B23" s="45" t="s">
        <v>85</v>
      </c>
      <c r="C23" s="45">
        <v>473</v>
      </c>
      <c r="D23" s="89">
        <v>25371</v>
      </c>
      <c r="E23" s="89">
        <v>4130</v>
      </c>
      <c r="F23" s="35">
        <f>E23/C23+5.8</f>
        <v>14.531501057082451</v>
      </c>
      <c r="G23" s="46">
        <f>E23/D23</f>
        <v>0.16278428126601238</v>
      </c>
      <c r="H23" s="82">
        <f>D23-E23</f>
        <v>21241</v>
      </c>
    </row>
    <row r="24" spans="1:8" x14ac:dyDescent="0.3">
      <c r="A24" s="45" t="s">
        <v>43</v>
      </c>
      <c r="B24" s="45" t="s">
        <v>10</v>
      </c>
      <c r="C24" s="45">
        <v>443</v>
      </c>
      <c r="D24" s="89">
        <v>23422</v>
      </c>
      <c r="E24" s="89">
        <v>5316</v>
      </c>
      <c r="F24" s="45">
        <v>12</v>
      </c>
      <c r="G24" s="46">
        <f>E24/D24</f>
        <v>0.22696610024763042</v>
      </c>
      <c r="H24" s="82">
        <f>D24-E24</f>
        <v>18106</v>
      </c>
    </row>
    <row r="25" spans="1:8" x14ac:dyDescent="0.3">
      <c r="A25" s="45" t="s">
        <v>19</v>
      </c>
      <c r="B25" s="45" t="s">
        <v>56</v>
      </c>
      <c r="C25" s="45">
        <v>374</v>
      </c>
      <c r="D25" s="89">
        <v>20321</v>
      </c>
      <c r="E25" s="89">
        <v>3170</v>
      </c>
      <c r="F25" s="35">
        <f>E25/C25+8.4</f>
        <v>16.875935828877004</v>
      </c>
      <c r="G25" s="46">
        <f>E25/D25</f>
        <v>0.15599626002657349</v>
      </c>
      <c r="H25" s="82">
        <f>D25-E25</f>
        <v>17151</v>
      </c>
    </row>
    <row r="26" spans="1:8" x14ac:dyDescent="0.3">
      <c r="A26" s="45" t="s">
        <v>20</v>
      </c>
      <c r="B26" s="45" t="s">
        <v>85</v>
      </c>
      <c r="C26" s="45">
        <v>384</v>
      </c>
      <c r="D26" s="89">
        <v>20352</v>
      </c>
      <c r="E26" s="89">
        <v>3472</v>
      </c>
      <c r="F26" s="35">
        <f>E26/C26+5.4</f>
        <v>14.441666666666666</v>
      </c>
      <c r="G26" s="46">
        <f>E26/D26</f>
        <v>0.17059748427672955</v>
      </c>
      <c r="H26" s="82">
        <f>D26-E26</f>
        <v>16880</v>
      </c>
    </row>
    <row r="27" spans="1:8" x14ac:dyDescent="0.3">
      <c r="A27" s="45" t="s">
        <v>52</v>
      </c>
      <c r="B27" s="45" t="s">
        <v>56</v>
      </c>
      <c r="C27" s="45">
        <v>388</v>
      </c>
      <c r="D27" s="89">
        <v>20728</v>
      </c>
      <c r="E27" s="89">
        <v>4157</v>
      </c>
      <c r="F27" s="35">
        <f>E27/C27+8.2</f>
        <v>18.913917525773194</v>
      </c>
      <c r="G27" s="46">
        <f>E27/D27</f>
        <v>0.20054998070243149</v>
      </c>
      <c r="H27" s="82">
        <f>D27-E27</f>
        <v>16571</v>
      </c>
    </row>
    <row r="28" spans="1:8" x14ac:dyDescent="0.3">
      <c r="A28" s="45" t="s">
        <v>54</v>
      </c>
      <c r="B28" s="45" t="s">
        <v>85</v>
      </c>
      <c r="C28" s="45">
        <v>331</v>
      </c>
      <c r="D28" s="89">
        <v>18009</v>
      </c>
      <c r="E28" s="89">
        <v>3234</v>
      </c>
      <c r="F28" s="35">
        <f>E28/C28+3.5</f>
        <v>13.270392749244714</v>
      </c>
      <c r="G28" s="46">
        <f>E28/D28</f>
        <v>0.17957687822755289</v>
      </c>
      <c r="H28" s="82">
        <f>D28-E28</f>
        <v>14775</v>
      </c>
    </row>
    <row r="29" spans="1:8" x14ac:dyDescent="0.3">
      <c r="A29" s="45" t="s">
        <v>8</v>
      </c>
      <c r="B29" s="45" t="s">
        <v>95</v>
      </c>
      <c r="C29" s="45">
        <v>325</v>
      </c>
      <c r="D29" s="89">
        <v>17945</v>
      </c>
      <c r="E29" s="89">
        <v>5986</v>
      </c>
      <c r="F29" s="45">
        <v>18.399999999999999</v>
      </c>
      <c r="G29" s="46">
        <f>E29/D29</f>
        <v>0.3335748119253274</v>
      </c>
      <c r="H29" s="82">
        <f>D29-E29</f>
        <v>11959</v>
      </c>
    </row>
    <row r="30" spans="1:8" x14ac:dyDescent="0.3">
      <c r="A30" s="45" t="s">
        <v>21</v>
      </c>
      <c r="B30" s="45" t="s">
        <v>85</v>
      </c>
      <c r="C30" s="45">
        <v>275</v>
      </c>
      <c r="D30" s="45">
        <v>15329</v>
      </c>
      <c r="E30" s="45">
        <v>3514</v>
      </c>
      <c r="F30" s="35">
        <f>E30/C30+8.9</f>
        <v>21.67818181818182</v>
      </c>
      <c r="G30" s="46">
        <f>E30/D30</f>
        <v>0.22923869789288276</v>
      </c>
      <c r="H30" s="82">
        <f>D30-E30</f>
        <v>11815</v>
      </c>
    </row>
    <row r="31" spans="1:8" x14ac:dyDescent="0.3">
      <c r="A31" s="45" t="s">
        <v>42</v>
      </c>
      <c r="B31" s="45" t="s">
        <v>85</v>
      </c>
      <c r="C31" s="45">
        <v>253</v>
      </c>
      <c r="D31" s="89">
        <v>11671</v>
      </c>
      <c r="E31" s="89">
        <v>2436</v>
      </c>
      <c r="F31" s="35">
        <f>E31/C31+5.1</f>
        <v>14.728458498023715</v>
      </c>
      <c r="G31" s="46">
        <f>E31/D31</f>
        <v>0.2087224745094679</v>
      </c>
      <c r="H31" s="82">
        <f>D31-E31</f>
        <v>9235</v>
      </c>
    </row>
    <row r="32" spans="1:8" x14ac:dyDescent="0.3">
      <c r="A32" s="45" t="s">
        <v>40</v>
      </c>
      <c r="B32" s="45" t="s">
        <v>85</v>
      </c>
      <c r="C32" s="45">
        <v>54</v>
      </c>
      <c r="D32" s="45">
        <v>2612</v>
      </c>
      <c r="E32" s="45">
        <v>1897</v>
      </c>
      <c r="F32" s="35">
        <f>E32/C32+8.3</f>
        <v>43.42962962962963</v>
      </c>
      <c r="G32" s="46">
        <f>E32/D32</f>
        <v>0.72626339969372133</v>
      </c>
      <c r="H32" s="82">
        <f>D32-E32</f>
        <v>715</v>
      </c>
    </row>
  </sheetData>
  <sortState xmlns:xlrd2="http://schemas.microsoft.com/office/spreadsheetml/2017/richdata2" ref="A2:H33">
    <sortCondition descending="1" ref="H1:H33"/>
  </sortState>
  <conditionalFormatting sqref="G4:G32">
    <cfRule type="cellIs" dxfId="24" priority="2" operator="greaterThan">
      <formula>0.2</formula>
    </cfRule>
  </conditionalFormatting>
  <conditionalFormatting sqref="G2:G32">
    <cfRule type="top10" dxfId="23" priority="1" bottom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A5F7-D87A-4D7B-9D1E-030E0253D3CF}">
  <dimension ref="A1:H30"/>
  <sheetViews>
    <sheetView zoomScale="80" zoomScaleNormal="80" workbookViewId="0">
      <pane ySplit="1" topLeftCell="A2" activePane="bottomLeft" state="frozen"/>
      <selection pane="bottomLeft" activeCell="H2" sqref="H2:H30"/>
    </sheetView>
  </sheetViews>
  <sheetFormatPr defaultRowHeight="21" x14ac:dyDescent="0.35"/>
  <cols>
    <col min="1" max="1" width="25.28515625" style="15" bestFit="1" customWidth="1"/>
    <col min="2" max="2" width="25.42578125" style="5" customWidth="1"/>
    <col min="3" max="3" width="17.7109375" style="5" bestFit="1" customWidth="1"/>
    <col min="4" max="4" width="22.85546875" style="5" bestFit="1" customWidth="1"/>
    <col min="5" max="5" width="17.28515625" style="5" bestFit="1" customWidth="1"/>
    <col min="6" max="6" width="15.42578125" style="5" customWidth="1"/>
    <col min="7" max="7" width="12" style="15" customWidth="1"/>
    <col min="8" max="8" width="17" style="15" customWidth="1"/>
    <col min="9" max="16384" width="9.140625" style="15"/>
  </cols>
  <sheetData>
    <row r="1" spans="1:8" ht="21.75" thickTop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126</v>
      </c>
      <c r="H1" s="14" t="s">
        <v>159</v>
      </c>
    </row>
    <row r="2" spans="1:8" x14ac:dyDescent="0.35">
      <c r="A2" s="40" t="s">
        <v>129</v>
      </c>
      <c r="B2" s="40" t="s">
        <v>133</v>
      </c>
      <c r="C2" s="40">
        <v>13857</v>
      </c>
      <c r="D2" s="40">
        <v>897746</v>
      </c>
      <c r="E2" s="40">
        <v>173738</v>
      </c>
      <c r="F2" s="41">
        <v>16.237923071371871</v>
      </c>
      <c r="G2" s="51">
        <f>E2/D2</f>
        <v>0.19352689959075284</v>
      </c>
      <c r="H2" s="97">
        <f>D2-E2</f>
        <v>724008</v>
      </c>
    </row>
    <row r="3" spans="1:8" x14ac:dyDescent="0.35">
      <c r="A3" s="16" t="s">
        <v>13</v>
      </c>
      <c r="B3" s="16" t="s">
        <v>30</v>
      </c>
      <c r="C3" s="16">
        <v>1509</v>
      </c>
      <c r="D3" s="16">
        <v>86686</v>
      </c>
      <c r="E3" s="16">
        <v>16588</v>
      </c>
      <c r="F3" s="17">
        <f>E3/C3+2.4</f>
        <v>13.392710404241219</v>
      </c>
      <c r="G3" s="48">
        <f>E3/D3</f>
        <v>0.19135731259949704</v>
      </c>
      <c r="H3" s="97">
        <f>D3-E3</f>
        <v>70098</v>
      </c>
    </row>
    <row r="4" spans="1:8" x14ac:dyDescent="0.35">
      <c r="A4" s="16" t="s">
        <v>11</v>
      </c>
      <c r="B4" s="16" t="s">
        <v>30</v>
      </c>
      <c r="C4" s="16">
        <v>1042</v>
      </c>
      <c r="D4" s="16">
        <v>75790</v>
      </c>
      <c r="E4" s="16">
        <v>11804</v>
      </c>
      <c r="F4" s="17">
        <f>E4/C4+1.1</f>
        <v>12.428214971209213</v>
      </c>
      <c r="G4" s="48">
        <f>E4/D4</f>
        <v>0.15574614065180103</v>
      </c>
      <c r="H4" s="97">
        <f>D4-E4</f>
        <v>63986</v>
      </c>
    </row>
    <row r="5" spans="1:8" x14ac:dyDescent="0.35">
      <c r="A5" s="16" t="s">
        <v>16</v>
      </c>
      <c r="B5" s="16" t="s">
        <v>30</v>
      </c>
      <c r="C5" s="16">
        <v>926</v>
      </c>
      <c r="D5" s="16">
        <v>67463</v>
      </c>
      <c r="E5" s="16">
        <v>10748</v>
      </c>
      <c r="F5" s="17">
        <f>E5/C5+1.5</f>
        <v>13.106911447084233</v>
      </c>
      <c r="G5" s="48">
        <f>E5/D5</f>
        <v>0.1593169589256333</v>
      </c>
      <c r="H5" s="97">
        <f>D5-E5</f>
        <v>56715</v>
      </c>
    </row>
    <row r="6" spans="1:8" x14ac:dyDescent="0.35">
      <c r="A6" s="16" t="s">
        <v>24</v>
      </c>
      <c r="B6" s="16" t="s">
        <v>30</v>
      </c>
      <c r="C6" s="16">
        <v>911</v>
      </c>
      <c r="D6" s="16">
        <v>65438</v>
      </c>
      <c r="E6" s="16">
        <v>10478</v>
      </c>
      <c r="F6" s="17">
        <f>E6/C6+2</f>
        <v>13.501646542261252</v>
      </c>
      <c r="G6" s="48">
        <f>E6/D6</f>
        <v>0.16012103059384455</v>
      </c>
      <c r="H6" s="97">
        <f>D6-E6</f>
        <v>54960</v>
      </c>
    </row>
    <row r="7" spans="1:8" x14ac:dyDescent="0.35">
      <c r="A7" s="16" t="s">
        <v>7</v>
      </c>
      <c r="B7" s="16" t="s">
        <v>80</v>
      </c>
      <c r="C7" s="16">
        <v>813</v>
      </c>
      <c r="D7" s="16">
        <v>57192</v>
      </c>
      <c r="E7" s="16">
        <v>11083</v>
      </c>
      <c r="F7" s="20">
        <v>13.6</v>
      </c>
      <c r="G7" s="48">
        <f>E7/D7</f>
        <v>0.19378584417401035</v>
      </c>
      <c r="H7" s="97">
        <f>D7-E7</f>
        <v>46109</v>
      </c>
    </row>
    <row r="8" spans="1:8" x14ac:dyDescent="0.35">
      <c r="A8" s="16" t="s">
        <v>17</v>
      </c>
      <c r="B8" s="16" t="s">
        <v>30</v>
      </c>
      <c r="C8" s="16">
        <v>781</v>
      </c>
      <c r="D8" s="16">
        <v>53383</v>
      </c>
      <c r="E8" s="16">
        <v>7632</v>
      </c>
      <c r="F8" s="17">
        <f>E8/C8+2.3</f>
        <v>12.072087067861716</v>
      </c>
      <c r="G8" s="48">
        <f>E8/D8</f>
        <v>0.14296686210966039</v>
      </c>
      <c r="H8" s="97">
        <f>D8-E8</f>
        <v>45751</v>
      </c>
    </row>
    <row r="9" spans="1:8" x14ac:dyDescent="0.35">
      <c r="A9" s="16" t="s">
        <v>6</v>
      </c>
      <c r="B9" s="16" t="s">
        <v>30</v>
      </c>
      <c r="C9" s="16">
        <v>702</v>
      </c>
      <c r="D9" s="16">
        <v>49617</v>
      </c>
      <c r="E9" s="16">
        <v>7918</v>
      </c>
      <c r="F9" s="17">
        <f>E9/C9+2.5</f>
        <v>13.779202279202279</v>
      </c>
      <c r="G9" s="48">
        <f>E9/D9</f>
        <v>0.15958240119313946</v>
      </c>
      <c r="H9" s="97">
        <f>D9-E9</f>
        <v>41699</v>
      </c>
    </row>
    <row r="10" spans="1:8" x14ac:dyDescent="0.35">
      <c r="A10" s="16" t="s">
        <v>9</v>
      </c>
      <c r="B10" s="16" t="s">
        <v>88</v>
      </c>
      <c r="C10" s="16">
        <v>633</v>
      </c>
      <c r="D10" s="16">
        <v>45159</v>
      </c>
      <c r="E10" s="16">
        <v>6318</v>
      </c>
      <c r="F10" s="17">
        <f>E10/C10+5.7</f>
        <v>15.681042654028435</v>
      </c>
      <c r="G10" s="48">
        <f>E10/D10</f>
        <v>0.1399056666445227</v>
      </c>
      <c r="H10" s="97">
        <f>D10-E10</f>
        <v>38841</v>
      </c>
    </row>
    <row r="11" spans="1:8" x14ac:dyDescent="0.35">
      <c r="A11" s="16" t="s">
        <v>59</v>
      </c>
      <c r="B11" s="16" t="s">
        <v>57</v>
      </c>
      <c r="C11" s="16">
        <v>591</v>
      </c>
      <c r="D11" s="16">
        <v>42884</v>
      </c>
      <c r="E11" s="16">
        <v>9769</v>
      </c>
      <c r="F11" s="17">
        <f>E11/C11+5.1</f>
        <v>21.629610829103214</v>
      </c>
      <c r="G11" s="48">
        <f>E11/D11</f>
        <v>0.22780057830426267</v>
      </c>
      <c r="H11" s="97">
        <f>D11-E11</f>
        <v>33115</v>
      </c>
    </row>
    <row r="12" spans="1:8" x14ac:dyDescent="0.35">
      <c r="A12" s="16" t="s">
        <v>55</v>
      </c>
      <c r="B12" s="16" t="s">
        <v>57</v>
      </c>
      <c r="C12" s="16">
        <v>585</v>
      </c>
      <c r="D12" s="16">
        <v>40455</v>
      </c>
      <c r="E12" s="16">
        <v>8859</v>
      </c>
      <c r="F12" s="17">
        <f>E12/C12+5.3</f>
        <v>20.443589743589744</v>
      </c>
      <c r="G12" s="48">
        <f>E12/D12</f>
        <v>0.21898405635891732</v>
      </c>
      <c r="H12" s="97">
        <f>D12-E12</f>
        <v>31596</v>
      </c>
    </row>
    <row r="13" spans="1:8" x14ac:dyDescent="0.35">
      <c r="A13" s="16" t="s">
        <v>15</v>
      </c>
      <c r="B13" s="16" t="s">
        <v>30</v>
      </c>
      <c r="C13" s="16">
        <v>814</v>
      </c>
      <c r="D13" s="16">
        <v>34808</v>
      </c>
      <c r="E13" s="16">
        <v>7674</v>
      </c>
      <c r="F13" s="17">
        <f>E13/C13+5.5</f>
        <v>14.927518427518427</v>
      </c>
      <c r="G13" s="48">
        <f>E13/D13</f>
        <v>0.22046655941162951</v>
      </c>
      <c r="H13" s="97">
        <f>D13-E13</f>
        <v>27134</v>
      </c>
    </row>
    <row r="14" spans="1:8" x14ac:dyDescent="0.35">
      <c r="A14" s="16" t="s">
        <v>35</v>
      </c>
      <c r="B14" s="16" t="s">
        <v>30</v>
      </c>
      <c r="C14" s="16">
        <v>423</v>
      </c>
      <c r="D14" s="16">
        <v>30042</v>
      </c>
      <c r="E14" s="16">
        <v>5655</v>
      </c>
      <c r="F14" s="17">
        <f>E14/C14+9.1</f>
        <v>22.468794326241134</v>
      </c>
      <c r="G14" s="48">
        <f>E14/D14</f>
        <v>0.18823646894347912</v>
      </c>
      <c r="H14" s="97">
        <f>D14-E14</f>
        <v>24387</v>
      </c>
    </row>
    <row r="15" spans="1:8" x14ac:dyDescent="0.35">
      <c r="A15" s="16" t="s">
        <v>47</v>
      </c>
      <c r="B15" s="16" t="s">
        <v>57</v>
      </c>
      <c r="C15" s="16">
        <v>401</v>
      </c>
      <c r="D15" s="16">
        <v>29032</v>
      </c>
      <c r="E15" s="16">
        <v>6091</v>
      </c>
      <c r="F15" s="17">
        <f>E15/C15+5.6</f>
        <v>20.789526184538651</v>
      </c>
      <c r="G15" s="48">
        <f>E15/D15</f>
        <v>0.20980297602645356</v>
      </c>
      <c r="H15" s="97">
        <f>D15-E15</f>
        <v>22941</v>
      </c>
    </row>
    <row r="16" spans="1:8" x14ac:dyDescent="0.35">
      <c r="A16" s="16" t="s">
        <v>44</v>
      </c>
      <c r="B16" s="16" t="s">
        <v>88</v>
      </c>
      <c r="C16" s="16">
        <v>360</v>
      </c>
      <c r="D16" s="16">
        <v>25032</v>
      </c>
      <c r="E16" s="16">
        <v>4662</v>
      </c>
      <c r="F16" s="17">
        <f>E16/C16+8.3</f>
        <v>21.25</v>
      </c>
      <c r="G16" s="48">
        <f>E16/D16</f>
        <v>0.18624161073825504</v>
      </c>
      <c r="H16" s="97">
        <f>D16-E16</f>
        <v>20370</v>
      </c>
    </row>
    <row r="17" spans="1:8" x14ac:dyDescent="0.35">
      <c r="A17" s="16" t="s">
        <v>18</v>
      </c>
      <c r="B17" s="16" t="s">
        <v>88</v>
      </c>
      <c r="C17" s="16">
        <v>342</v>
      </c>
      <c r="D17" s="16">
        <v>23004</v>
      </c>
      <c r="E17" s="16">
        <v>3105</v>
      </c>
      <c r="F17" s="17">
        <f>E17/C17+4.8</f>
        <v>13.878947368421052</v>
      </c>
      <c r="G17" s="48">
        <f>E17/D17</f>
        <v>0.13497652582159625</v>
      </c>
      <c r="H17" s="97">
        <f>D17-E17</f>
        <v>19899</v>
      </c>
    </row>
    <row r="18" spans="1:8" x14ac:dyDescent="0.35">
      <c r="A18" s="16" t="s">
        <v>12</v>
      </c>
      <c r="B18" s="16" t="s">
        <v>30</v>
      </c>
      <c r="C18" s="16">
        <v>496</v>
      </c>
      <c r="D18" s="16">
        <v>25315</v>
      </c>
      <c r="E18" s="16">
        <v>6646</v>
      </c>
      <c r="F18" s="17">
        <f>E18/C18+2.7</f>
        <v>16.099193548387095</v>
      </c>
      <c r="G18" s="48">
        <f>E18/D18</f>
        <v>0.26253209559549673</v>
      </c>
      <c r="H18" s="97">
        <f>D18-E18</f>
        <v>18669</v>
      </c>
    </row>
    <row r="19" spans="1:8" x14ac:dyDescent="0.35">
      <c r="A19" s="16" t="s">
        <v>22</v>
      </c>
      <c r="B19" s="16" t="s">
        <v>57</v>
      </c>
      <c r="C19" s="16">
        <v>325</v>
      </c>
      <c r="D19" s="16">
        <v>22781</v>
      </c>
      <c r="E19" s="16">
        <v>5268</v>
      </c>
      <c r="F19" s="17">
        <f>E19/C19+7</f>
        <v>23.209230769230768</v>
      </c>
      <c r="G19" s="48">
        <f>E19/D19</f>
        <v>0.23124533602563541</v>
      </c>
      <c r="H19" s="97">
        <f>D19-E19</f>
        <v>17513</v>
      </c>
    </row>
    <row r="20" spans="1:8" x14ac:dyDescent="0.35">
      <c r="A20" s="16" t="s">
        <v>39</v>
      </c>
      <c r="B20" s="16" t="s">
        <v>57</v>
      </c>
      <c r="C20" s="16">
        <v>291</v>
      </c>
      <c r="D20" s="16">
        <v>21122</v>
      </c>
      <c r="E20" s="16">
        <v>4435</v>
      </c>
      <c r="F20" s="17">
        <f>E20/C20+6.2</f>
        <v>21.440549828178693</v>
      </c>
      <c r="G20" s="48">
        <f>E20/D20</f>
        <v>0.20997064671906068</v>
      </c>
      <c r="H20" s="97">
        <f>D20-E20</f>
        <v>16687</v>
      </c>
    </row>
    <row r="21" spans="1:8" x14ac:dyDescent="0.35">
      <c r="A21" s="16" t="s">
        <v>21</v>
      </c>
      <c r="B21" s="16" t="s">
        <v>88</v>
      </c>
      <c r="C21" s="16">
        <v>222</v>
      </c>
      <c r="D21" s="16">
        <v>16338</v>
      </c>
      <c r="E21" s="16">
        <v>4221</v>
      </c>
      <c r="F21" s="17">
        <f>E21/C21+8.9</f>
        <v>27.913513513513514</v>
      </c>
      <c r="G21" s="48">
        <f>E21/D21</f>
        <v>0.2583547557840617</v>
      </c>
      <c r="H21" s="97">
        <f>D21-E21</f>
        <v>12117</v>
      </c>
    </row>
    <row r="22" spans="1:8" x14ac:dyDescent="0.35">
      <c r="A22" s="16" t="s">
        <v>74</v>
      </c>
      <c r="B22" s="16" t="s">
        <v>88</v>
      </c>
      <c r="C22" s="16">
        <v>716</v>
      </c>
      <c r="D22" s="16">
        <v>20333</v>
      </c>
      <c r="E22" s="16">
        <v>9441</v>
      </c>
      <c r="F22" s="17">
        <f>E22/C22+7.7</f>
        <v>20.885754189944134</v>
      </c>
      <c r="G22" s="48">
        <f>E22/D22</f>
        <v>0.46431908719815079</v>
      </c>
      <c r="H22" s="97">
        <f>D22-E22</f>
        <v>10892</v>
      </c>
    </row>
    <row r="23" spans="1:8" x14ac:dyDescent="0.35">
      <c r="A23" s="16" t="s">
        <v>41</v>
      </c>
      <c r="B23" s="16" t="s">
        <v>88</v>
      </c>
      <c r="C23" s="16">
        <v>184</v>
      </c>
      <c r="D23" s="16">
        <v>12989</v>
      </c>
      <c r="E23" s="16">
        <v>2304</v>
      </c>
      <c r="F23" s="17">
        <f>E23/C23+5.8</f>
        <v>18.321739130434782</v>
      </c>
      <c r="G23" s="48">
        <f>E23/D23</f>
        <v>0.17738086072830858</v>
      </c>
      <c r="H23" s="97">
        <f>D23-E23</f>
        <v>10685</v>
      </c>
    </row>
    <row r="24" spans="1:8" x14ac:dyDescent="0.35">
      <c r="A24" s="16" t="s">
        <v>54</v>
      </c>
      <c r="B24" s="16" t="s">
        <v>88</v>
      </c>
      <c r="C24" s="16">
        <v>185</v>
      </c>
      <c r="D24" s="16">
        <v>11759</v>
      </c>
      <c r="E24" s="16">
        <v>2628</v>
      </c>
      <c r="F24" s="17">
        <f>E24/C24+3.5</f>
        <v>17.705405405405408</v>
      </c>
      <c r="G24" s="48">
        <f>E24/D24</f>
        <v>0.22348839187005698</v>
      </c>
      <c r="H24" s="97">
        <f>D24-E24</f>
        <v>9131</v>
      </c>
    </row>
    <row r="25" spans="1:8" x14ac:dyDescent="0.35">
      <c r="A25" s="16" t="s">
        <v>52</v>
      </c>
      <c r="B25" s="16" t="s">
        <v>57</v>
      </c>
      <c r="C25" s="16">
        <v>139</v>
      </c>
      <c r="D25" s="16">
        <v>9952</v>
      </c>
      <c r="E25" s="16">
        <v>2549</v>
      </c>
      <c r="F25" s="17">
        <f>E25/C25+8.2</f>
        <v>26.538129496402878</v>
      </c>
      <c r="G25" s="48">
        <f>E25/D25</f>
        <v>0.25612942122186494</v>
      </c>
      <c r="H25" s="97">
        <f>D25-E25</f>
        <v>7403</v>
      </c>
    </row>
    <row r="26" spans="1:8" x14ac:dyDescent="0.35">
      <c r="A26" s="16" t="s">
        <v>42</v>
      </c>
      <c r="B26" s="16" t="s">
        <v>88</v>
      </c>
      <c r="C26" s="16">
        <v>138</v>
      </c>
      <c r="D26" s="16">
        <v>7874</v>
      </c>
      <c r="E26" s="16">
        <v>1611</v>
      </c>
      <c r="F26" s="17">
        <f>E26/C26+5.1</f>
        <v>16.77391304347826</v>
      </c>
      <c r="G26" s="48">
        <f>E26/D26</f>
        <v>0.20459740919481839</v>
      </c>
      <c r="H26" s="97">
        <f>D26-E26</f>
        <v>6263</v>
      </c>
    </row>
    <row r="27" spans="1:8" x14ac:dyDescent="0.35">
      <c r="A27" s="16" t="s">
        <v>20</v>
      </c>
      <c r="B27" s="16" t="s">
        <v>88</v>
      </c>
      <c r="C27" s="16">
        <v>102</v>
      </c>
      <c r="D27" s="16">
        <v>7139</v>
      </c>
      <c r="E27" s="16">
        <v>2079</v>
      </c>
      <c r="F27" s="17">
        <f>E27/C27+5.4</f>
        <v>25.78235294117647</v>
      </c>
      <c r="G27" s="48">
        <f>E27/D27</f>
        <v>0.29121725731895226</v>
      </c>
      <c r="H27" s="97">
        <f>D27-E27</f>
        <v>5060</v>
      </c>
    </row>
    <row r="28" spans="1:8" x14ac:dyDescent="0.35">
      <c r="A28" s="16" t="s">
        <v>19</v>
      </c>
      <c r="B28" s="16" t="s">
        <v>57</v>
      </c>
      <c r="C28" s="16">
        <v>88</v>
      </c>
      <c r="D28" s="16">
        <v>6325</v>
      </c>
      <c r="E28" s="16">
        <v>1642</v>
      </c>
      <c r="F28" s="17">
        <f>E28/C28+8.4</f>
        <v>27.059090909090912</v>
      </c>
      <c r="G28" s="48">
        <f>E28/D28</f>
        <v>0.25960474308300396</v>
      </c>
      <c r="H28" s="97">
        <f>D28-E28</f>
        <v>4683</v>
      </c>
    </row>
    <row r="29" spans="1:8" x14ac:dyDescent="0.35">
      <c r="A29" s="16" t="s">
        <v>31</v>
      </c>
      <c r="B29" s="16" t="s">
        <v>30</v>
      </c>
      <c r="C29" s="16">
        <v>76</v>
      </c>
      <c r="D29" s="16">
        <v>5294</v>
      </c>
      <c r="E29" s="16">
        <v>917</v>
      </c>
      <c r="F29" s="17">
        <f>E29/C29+4.2</f>
        <v>16.265789473684212</v>
      </c>
      <c r="G29" s="48">
        <f>E29/D29</f>
        <v>0.17321496033245184</v>
      </c>
      <c r="H29" s="97">
        <f>D29-E29</f>
        <v>4377</v>
      </c>
    </row>
    <row r="30" spans="1:8" x14ac:dyDescent="0.35">
      <c r="A30" s="16" t="s">
        <v>8</v>
      </c>
      <c r="B30" s="16" t="s">
        <v>67</v>
      </c>
      <c r="C30" s="16">
        <v>62</v>
      </c>
      <c r="D30" s="16">
        <v>4540</v>
      </c>
      <c r="E30" s="16">
        <v>1613</v>
      </c>
      <c r="F30" s="20">
        <v>26</v>
      </c>
      <c r="G30" s="48">
        <f>E30/D30</f>
        <v>0.3552863436123348</v>
      </c>
      <c r="H30" s="97">
        <f>D30-E30</f>
        <v>2927</v>
      </c>
    </row>
  </sheetData>
  <sortState xmlns:xlrd2="http://schemas.microsoft.com/office/spreadsheetml/2017/richdata2" ref="A2:H30">
    <sortCondition descending="1" ref="H1:H30"/>
  </sortState>
  <conditionalFormatting sqref="G2:G30">
    <cfRule type="top10" dxfId="22" priority="2" bottom="1" rank="5"/>
    <cfRule type="cellIs" dxfId="21" priority="3" operator="greaterThan">
      <formula>0.25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EBBF-FA0D-42E0-B709-0CA30D336053}">
  <dimension ref="A1:H28"/>
  <sheetViews>
    <sheetView zoomScaleNormal="100" workbookViewId="0">
      <pane ySplit="1" topLeftCell="A2" activePane="bottomLeft" state="frozen"/>
      <selection pane="bottomLeft" activeCell="A7" sqref="A7:XFD10"/>
    </sheetView>
  </sheetViews>
  <sheetFormatPr defaultRowHeight="15" x14ac:dyDescent="0.25"/>
  <cols>
    <col min="1" max="1" width="18.85546875" bestFit="1" customWidth="1"/>
    <col min="2" max="2" width="14" bestFit="1" customWidth="1"/>
    <col min="3" max="3" width="13.7109375" bestFit="1" customWidth="1"/>
    <col min="4" max="4" width="17.7109375" bestFit="1" customWidth="1"/>
    <col min="5" max="5" width="14.7109375" customWidth="1"/>
    <col min="6" max="6" width="13.7109375" customWidth="1"/>
    <col min="7" max="7" width="12.28515625" customWidth="1"/>
    <col min="8" max="8" width="10.28515625" customWidth="1"/>
  </cols>
  <sheetData>
    <row r="1" spans="1:8" ht="17.25" thickTop="1" thickBot="1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55" t="s">
        <v>5</v>
      </c>
      <c r="G1" s="55" t="s">
        <v>126</v>
      </c>
      <c r="H1" s="55" t="s">
        <v>159</v>
      </c>
    </row>
    <row r="2" spans="1:8" ht="21.75" thickTop="1" x14ac:dyDescent="0.35">
      <c r="A2" s="40" t="s">
        <v>129</v>
      </c>
      <c r="B2" s="40" t="s">
        <v>134</v>
      </c>
      <c r="C2" s="52">
        <v>4833</v>
      </c>
      <c r="D2" s="52">
        <v>258234</v>
      </c>
      <c r="E2" s="53">
        <v>66605.97</v>
      </c>
      <c r="F2" s="54">
        <v>17.481495965238981</v>
      </c>
      <c r="G2" s="56">
        <f>E2/D2</f>
        <v>0.25792873905062852</v>
      </c>
      <c r="H2" s="99">
        <f>D2-E2</f>
        <v>191628.03</v>
      </c>
    </row>
    <row r="3" spans="1:8" ht="15.75" x14ac:dyDescent="0.25">
      <c r="A3" s="4" t="s">
        <v>7</v>
      </c>
      <c r="B3" s="4" t="s">
        <v>114</v>
      </c>
      <c r="C3" s="4">
        <v>478</v>
      </c>
      <c r="D3" s="4">
        <v>25427</v>
      </c>
      <c r="E3" s="10">
        <v>3712.66</v>
      </c>
      <c r="F3" s="21">
        <f>7.76707112970711+3.8</f>
        <v>11.567071129707109</v>
      </c>
      <c r="G3" s="30">
        <f>E3/D3</f>
        <v>0.14601250639084437</v>
      </c>
      <c r="H3" s="99">
        <f>D3-E3</f>
        <v>21714.34</v>
      </c>
    </row>
    <row r="4" spans="1:8" ht="15.75" x14ac:dyDescent="0.25">
      <c r="A4" s="4" t="s">
        <v>16</v>
      </c>
      <c r="B4" s="4" t="s">
        <v>34</v>
      </c>
      <c r="C4" s="4">
        <v>466</v>
      </c>
      <c r="D4" s="4">
        <v>25727</v>
      </c>
      <c r="E4" s="10">
        <v>5245.2750000000015</v>
      </c>
      <c r="F4" s="9">
        <f>E4/C4+1.5</f>
        <v>12.75595493562232</v>
      </c>
      <c r="G4" s="30">
        <f>E4/D4</f>
        <v>0.20388210829090067</v>
      </c>
      <c r="H4" s="99">
        <f>D4-E4</f>
        <v>20481.724999999999</v>
      </c>
    </row>
    <row r="5" spans="1:8" ht="15.75" x14ac:dyDescent="0.25">
      <c r="A5" s="4" t="s">
        <v>13</v>
      </c>
      <c r="B5" s="4" t="s">
        <v>34</v>
      </c>
      <c r="C5" s="4">
        <v>486</v>
      </c>
      <c r="D5" s="4">
        <v>25352</v>
      </c>
      <c r="E5" s="10">
        <v>5953.4000000000005</v>
      </c>
      <c r="F5" s="9">
        <f>E5/C5+2</f>
        <v>14.249794238683128</v>
      </c>
      <c r="G5" s="30">
        <f>E5/D5</f>
        <v>0.23482959924266333</v>
      </c>
      <c r="H5" s="99">
        <f>D5-E5</f>
        <v>19398.599999999999</v>
      </c>
    </row>
    <row r="6" spans="1:8" ht="15.75" x14ac:dyDescent="0.25">
      <c r="A6" s="4" t="s">
        <v>6</v>
      </c>
      <c r="B6" s="4" t="s">
        <v>34</v>
      </c>
      <c r="C6" s="4">
        <v>361</v>
      </c>
      <c r="D6" s="4">
        <v>19522</v>
      </c>
      <c r="E6" s="10">
        <v>4508.8250000000007</v>
      </c>
      <c r="F6" s="9">
        <f>E6/C6+2.5</f>
        <v>14.98981994459834</v>
      </c>
      <c r="G6" s="30">
        <f>E6/D6</f>
        <v>0.23096122323532428</v>
      </c>
      <c r="H6" s="99">
        <f>D6-E6</f>
        <v>15013.174999999999</v>
      </c>
    </row>
    <row r="7" spans="1:8" ht="15.75" x14ac:dyDescent="0.25">
      <c r="A7" s="4" t="s">
        <v>24</v>
      </c>
      <c r="B7" s="4" t="s">
        <v>34</v>
      </c>
      <c r="C7" s="4">
        <v>382</v>
      </c>
      <c r="D7" s="4">
        <v>20461</v>
      </c>
      <c r="E7" s="10">
        <v>5582.6</v>
      </c>
      <c r="F7" s="9">
        <f>E7/C7+2</f>
        <v>16.614136125654451</v>
      </c>
      <c r="G7" s="30">
        <f>E7/D7</f>
        <v>0.27284101461316651</v>
      </c>
      <c r="H7" s="99">
        <f>D7-E7</f>
        <v>14878.4</v>
      </c>
    </row>
    <row r="8" spans="1:8" ht="15.75" x14ac:dyDescent="0.25">
      <c r="A8" s="4" t="s">
        <v>11</v>
      </c>
      <c r="B8" s="4" t="s">
        <v>34</v>
      </c>
      <c r="C8" s="4">
        <v>296</v>
      </c>
      <c r="D8" s="4">
        <v>16008</v>
      </c>
      <c r="E8" s="10">
        <v>4380.0750000000007</v>
      </c>
      <c r="F8" s="9">
        <f>E8/C8+1.1</f>
        <v>15.897550675675678</v>
      </c>
      <c r="G8" s="30">
        <f>E8/D8</f>
        <v>0.27361787856071967</v>
      </c>
      <c r="H8" s="99">
        <f>D8-E8</f>
        <v>11627.924999999999</v>
      </c>
    </row>
    <row r="9" spans="1:8" ht="15.75" x14ac:dyDescent="0.25">
      <c r="A9" s="4" t="s">
        <v>15</v>
      </c>
      <c r="B9" s="4" t="s">
        <v>34</v>
      </c>
      <c r="C9" s="4">
        <v>259</v>
      </c>
      <c r="D9" s="4">
        <v>14076</v>
      </c>
      <c r="E9" s="10">
        <v>3954</v>
      </c>
      <c r="F9" s="9">
        <f>E9/C9+5.5</f>
        <v>20.766409266409266</v>
      </c>
      <c r="G9" s="30">
        <f>E9/D9</f>
        <v>0.28090366581415177</v>
      </c>
      <c r="H9" s="99">
        <f>D9-E9</f>
        <v>10122</v>
      </c>
    </row>
    <row r="10" spans="1:8" ht="15.75" x14ac:dyDescent="0.25">
      <c r="A10" s="4" t="s">
        <v>17</v>
      </c>
      <c r="B10" s="4" t="s">
        <v>34</v>
      </c>
      <c r="C10" s="4">
        <v>278</v>
      </c>
      <c r="D10" s="4">
        <v>13842</v>
      </c>
      <c r="E10" s="10">
        <v>3960.35</v>
      </c>
      <c r="F10" s="9">
        <f>E10/C10+2.3</f>
        <v>16.545863309352516</v>
      </c>
      <c r="G10" s="30">
        <f>E10/D10</f>
        <v>0.28611111111111109</v>
      </c>
      <c r="H10" s="99">
        <f>D10-E10</f>
        <v>9881.65</v>
      </c>
    </row>
    <row r="11" spans="1:8" ht="15.75" x14ac:dyDescent="0.25">
      <c r="A11" s="4" t="s">
        <v>44</v>
      </c>
      <c r="B11" s="4" t="s">
        <v>103</v>
      </c>
      <c r="C11" s="4">
        <v>221</v>
      </c>
      <c r="D11" s="4">
        <v>12324</v>
      </c>
      <c r="E11" s="10">
        <v>2584.0000000000005</v>
      </c>
      <c r="F11" s="9">
        <f>E11/C11+3</f>
        <v>14.692307692307695</v>
      </c>
      <c r="G11" s="30">
        <f>E11/D11</f>
        <v>0.20967218435572871</v>
      </c>
      <c r="H11" s="99">
        <f>D11-E11</f>
        <v>9740</v>
      </c>
    </row>
    <row r="12" spans="1:8" ht="15.75" x14ac:dyDescent="0.25">
      <c r="A12" s="4" t="s">
        <v>59</v>
      </c>
      <c r="B12" s="4" t="s">
        <v>49</v>
      </c>
      <c r="C12" s="4">
        <v>193</v>
      </c>
      <c r="D12" s="4">
        <v>10313</v>
      </c>
      <c r="E12" s="10">
        <v>2785.16</v>
      </c>
      <c r="F12" s="9">
        <f>E12/C12+5.1</f>
        <v>19.530880829015544</v>
      </c>
      <c r="G12" s="30">
        <f>E12/D12</f>
        <v>0.27006302724716374</v>
      </c>
      <c r="H12" s="99">
        <f>D12-E12</f>
        <v>7527.84</v>
      </c>
    </row>
    <row r="13" spans="1:8" ht="15.75" x14ac:dyDescent="0.25">
      <c r="A13" s="4" t="s">
        <v>55</v>
      </c>
      <c r="B13" s="4" t="s">
        <v>49</v>
      </c>
      <c r="C13" s="4">
        <v>162</v>
      </c>
      <c r="D13" s="4">
        <v>8573</v>
      </c>
      <c r="E13" s="10">
        <v>2402.96</v>
      </c>
      <c r="F13" s="9">
        <f>E13/C13+5.3</f>
        <v>20.133086419753088</v>
      </c>
      <c r="G13" s="30">
        <f>E13/D13</f>
        <v>0.28029394610987984</v>
      </c>
      <c r="H13" s="99">
        <f>D13-E13</f>
        <v>6170.04</v>
      </c>
    </row>
    <row r="14" spans="1:8" ht="15.75" x14ac:dyDescent="0.25">
      <c r="A14" s="4" t="s">
        <v>9</v>
      </c>
      <c r="B14" s="4" t="s">
        <v>103</v>
      </c>
      <c r="C14" s="4">
        <v>145</v>
      </c>
      <c r="D14" s="4">
        <v>7886</v>
      </c>
      <c r="E14" s="10">
        <v>2040</v>
      </c>
      <c r="F14" s="9">
        <f>E14/C14+5.7</f>
        <v>19.76896551724138</v>
      </c>
      <c r="G14" s="30">
        <f>E14/D14</f>
        <v>0.25868627948262746</v>
      </c>
      <c r="H14" s="99">
        <f>D14-E14</f>
        <v>5846</v>
      </c>
    </row>
    <row r="15" spans="1:8" ht="15.75" x14ac:dyDescent="0.25">
      <c r="A15" s="4" t="s">
        <v>22</v>
      </c>
      <c r="B15" s="4" t="s">
        <v>49</v>
      </c>
      <c r="C15" s="4">
        <v>141</v>
      </c>
      <c r="D15" s="4">
        <v>7327</v>
      </c>
      <c r="E15" s="10">
        <v>1924.72</v>
      </c>
      <c r="F15" s="9">
        <f>E15/C15+7</f>
        <v>20.650496453900708</v>
      </c>
      <c r="G15" s="30">
        <f>E15/D15</f>
        <v>0.26268868568308995</v>
      </c>
      <c r="H15" s="99">
        <f>D15-E15</f>
        <v>5402.28</v>
      </c>
    </row>
    <row r="16" spans="1:8" ht="15.75" x14ac:dyDescent="0.25">
      <c r="A16" s="4" t="s">
        <v>47</v>
      </c>
      <c r="B16" s="4" t="s">
        <v>49</v>
      </c>
      <c r="C16" s="4">
        <v>131</v>
      </c>
      <c r="D16" s="4">
        <v>7169</v>
      </c>
      <c r="E16" s="10">
        <v>2120.7200000000003</v>
      </c>
      <c r="F16" s="9">
        <f>E16/C16+5.6</f>
        <v>21.788702290076337</v>
      </c>
      <c r="G16" s="30">
        <f>E16/D16</f>
        <v>0.2958181057330172</v>
      </c>
      <c r="H16" s="99">
        <f>D16-E16</f>
        <v>5048.28</v>
      </c>
    </row>
    <row r="17" spans="1:8" ht="15.75" x14ac:dyDescent="0.25">
      <c r="A17" s="4" t="s">
        <v>74</v>
      </c>
      <c r="B17" s="4" t="s">
        <v>103</v>
      </c>
      <c r="C17" s="4">
        <v>123</v>
      </c>
      <c r="D17" s="4">
        <v>6170</v>
      </c>
      <c r="E17" s="10">
        <v>1861.5000000000002</v>
      </c>
      <c r="F17" s="9">
        <f>E17/C17+7.7</f>
        <v>22.834146341463416</v>
      </c>
      <c r="G17" s="30">
        <f>E17/D17</f>
        <v>0.3017017828200973</v>
      </c>
      <c r="H17" s="99">
        <f>D17-E17</f>
        <v>4308.5</v>
      </c>
    </row>
    <row r="18" spans="1:8" ht="15.75" x14ac:dyDescent="0.25">
      <c r="A18" s="4" t="s">
        <v>31</v>
      </c>
      <c r="B18" s="4" t="s">
        <v>34</v>
      </c>
      <c r="C18" s="4">
        <v>120</v>
      </c>
      <c r="D18" s="4">
        <v>6355</v>
      </c>
      <c r="E18" s="10">
        <v>2487.4499999999998</v>
      </c>
      <c r="F18" s="9">
        <f>E18/C18+4.2</f>
        <v>24.928749999999997</v>
      </c>
      <c r="G18" s="30">
        <f>E18/D18</f>
        <v>0.39141620771046415</v>
      </c>
      <c r="H18" s="99">
        <f>D18-E18</f>
        <v>3867.55</v>
      </c>
    </row>
    <row r="19" spans="1:8" ht="15.75" x14ac:dyDescent="0.25">
      <c r="A19" s="4" t="s">
        <v>12</v>
      </c>
      <c r="B19" s="4" t="s">
        <v>34</v>
      </c>
      <c r="C19" s="4">
        <v>113</v>
      </c>
      <c r="D19" s="4">
        <v>6129</v>
      </c>
      <c r="E19" s="10">
        <v>2855.6750000000002</v>
      </c>
      <c r="F19" s="9">
        <f>E19/C19+2.7</f>
        <v>27.971460176991151</v>
      </c>
      <c r="G19" s="30">
        <f>E19/D19</f>
        <v>0.46592837330722797</v>
      </c>
      <c r="H19" s="99">
        <f>D19-E19</f>
        <v>3273.3249999999998</v>
      </c>
    </row>
    <row r="20" spans="1:8" ht="15.75" x14ac:dyDescent="0.25">
      <c r="A20" s="4" t="s">
        <v>41</v>
      </c>
      <c r="B20" s="4" t="s">
        <v>103</v>
      </c>
      <c r="C20" s="4">
        <v>71</v>
      </c>
      <c r="D20" s="4">
        <v>3788</v>
      </c>
      <c r="E20" s="10">
        <v>1003</v>
      </c>
      <c r="F20" s="9">
        <f>E20/C20+5.8</f>
        <v>19.926760563380281</v>
      </c>
      <c r="G20" s="30">
        <f>E20/D20</f>
        <v>0.26478352692713836</v>
      </c>
      <c r="H20" s="99">
        <f>D20-E20</f>
        <v>2785</v>
      </c>
    </row>
    <row r="21" spans="1:8" ht="15.75" x14ac:dyDescent="0.25">
      <c r="A21" s="4" t="s">
        <v>52</v>
      </c>
      <c r="B21" s="4" t="s">
        <v>49</v>
      </c>
      <c r="C21" s="4">
        <v>69</v>
      </c>
      <c r="D21" s="4">
        <v>3648</v>
      </c>
      <c r="E21" s="10">
        <v>985.88</v>
      </c>
      <c r="F21" s="9">
        <f>E21/C21+8.2</f>
        <v>22.488115942028983</v>
      </c>
      <c r="G21" s="30">
        <f>E21/D21</f>
        <v>0.27025219298245612</v>
      </c>
      <c r="H21" s="99">
        <f>D21-E21</f>
        <v>2662.12</v>
      </c>
    </row>
    <row r="22" spans="1:8" ht="15.75" x14ac:dyDescent="0.25">
      <c r="A22" s="4" t="s">
        <v>35</v>
      </c>
      <c r="B22" s="4" t="s">
        <v>103</v>
      </c>
      <c r="C22" s="4">
        <v>71</v>
      </c>
      <c r="D22" s="4">
        <v>3975</v>
      </c>
      <c r="E22" s="10">
        <v>1377</v>
      </c>
      <c r="F22" s="9">
        <f>E22/C22+9.1</f>
        <v>28.494366197183098</v>
      </c>
      <c r="G22" s="30">
        <f>E22/D22</f>
        <v>0.34641509433962264</v>
      </c>
      <c r="H22" s="99">
        <f>D22-E22</f>
        <v>2598</v>
      </c>
    </row>
    <row r="23" spans="1:8" ht="15.75" x14ac:dyDescent="0.25">
      <c r="A23" s="4" t="s">
        <v>20</v>
      </c>
      <c r="B23" s="4" t="s">
        <v>103</v>
      </c>
      <c r="C23" s="4">
        <v>70</v>
      </c>
      <c r="D23" s="4">
        <v>3720</v>
      </c>
      <c r="E23" s="10">
        <v>1249.5</v>
      </c>
      <c r="F23" s="9">
        <f>E23/C23+5.4</f>
        <v>23.25</v>
      </c>
      <c r="G23" s="30">
        <f>E23/D23</f>
        <v>0.33588709677419354</v>
      </c>
      <c r="H23" s="99">
        <f>D23-E23</f>
        <v>2470.5</v>
      </c>
    </row>
    <row r="24" spans="1:8" ht="15.75" x14ac:dyDescent="0.25">
      <c r="A24" s="4" t="s">
        <v>39</v>
      </c>
      <c r="B24" s="4" t="s">
        <v>49</v>
      </c>
      <c r="C24" s="4">
        <v>64</v>
      </c>
      <c r="D24" s="4">
        <v>3401</v>
      </c>
      <c r="E24" s="10">
        <v>958.43999999999994</v>
      </c>
      <c r="F24" s="9">
        <f>E24/C24+6.2</f>
        <v>21.175625</v>
      </c>
      <c r="G24" s="30">
        <f>E24/D24</f>
        <v>0.28181123199059099</v>
      </c>
      <c r="H24" s="99">
        <f>D24-E24</f>
        <v>2442.56</v>
      </c>
    </row>
    <row r="25" spans="1:8" ht="15.75" x14ac:dyDescent="0.25">
      <c r="A25" s="4" t="s">
        <v>19</v>
      </c>
      <c r="B25" s="4" t="s">
        <v>49</v>
      </c>
      <c r="C25" s="4">
        <v>49</v>
      </c>
      <c r="D25" s="4">
        <v>2647</v>
      </c>
      <c r="E25" s="10">
        <v>627.20000000000016</v>
      </c>
      <c r="F25" s="9">
        <f>E25/C25+8.4</f>
        <v>21.200000000000003</v>
      </c>
      <c r="G25" s="30">
        <f>E25/D25</f>
        <v>0.23694748772194943</v>
      </c>
      <c r="H25" s="99">
        <f>D25-E25</f>
        <v>2019.7999999999997</v>
      </c>
    </row>
    <row r="26" spans="1:8" ht="15.75" x14ac:dyDescent="0.25">
      <c r="A26" s="4" t="s">
        <v>8</v>
      </c>
      <c r="B26" s="4" t="s">
        <v>64</v>
      </c>
      <c r="C26" s="4">
        <v>49</v>
      </c>
      <c r="D26" s="4">
        <v>2626</v>
      </c>
      <c r="E26" s="10">
        <v>1204.08</v>
      </c>
      <c r="F26" s="9">
        <v>24.573061224489798</v>
      </c>
      <c r="G26" s="30">
        <f>E26/D26</f>
        <v>0.45852246763137849</v>
      </c>
      <c r="H26" s="99">
        <f>D26-E26</f>
        <v>1421.92</v>
      </c>
    </row>
    <row r="27" spans="1:8" ht="15.75" x14ac:dyDescent="0.25">
      <c r="A27" s="4" t="s">
        <v>54</v>
      </c>
      <c r="B27" s="4" t="s">
        <v>103</v>
      </c>
      <c r="C27" s="4">
        <v>24</v>
      </c>
      <c r="D27" s="4">
        <v>1278</v>
      </c>
      <c r="E27" s="10">
        <v>416.5</v>
      </c>
      <c r="F27" s="9">
        <f>E27/C27+3.5</f>
        <v>20.854166666666668</v>
      </c>
      <c r="G27" s="30">
        <f>E27/D27</f>
        <v>0.32589984350547729</v>
      </c>
      <c r="H27" s="99">
        <f>D27-E27</f>
        <v>861.5</v>
      </c>
    </row>
    <row r="28" spans="1:8" ht="15.75" x14ac:dyDescent="0.25">
      <c r="A28" s="4" t="s">
        <v>42</v>
      </c>
      <c r="B28" s="4" t="s">
        <v>103</v>
      </c>
      <c r="C28" s="4">
        <v>11</v>
      </c>
      <c r="D28" s="4">
        <v>490</v>
      </c>
      <c r="E28" s="10">
        <v>425</v>
      </c>
      <c r="F28" s="9">
        <f>E28/C28+7.7</f>
        <v>46.336363636363636</v>
      </c>
      <c r="G28" s="30">
        <f>E28/D28</f>
        <v>0.86734693877551017</v>
      </c>
      <c r="H28" s="99">
        <f>D28-E28</f>
        <v>65</v>
      </c>
    </row>
  </sheetData>
  <sortState xmlns:xlrd2="http://schemas.microsoft.com/office/spreadsheetml/2017/richdata2" ref="A2:H28">
    <sortCondition descending="1" ref="H1:H28"/>
  </sortState>
  <conditionalFormatting sqref="G2:G28">
    <cfRule type="top10" dxfId="20" priority="1" bottom="1" rank="5"/>
    <cfRule type="cellIs" dxfId="19" priority="2" operator="greaterThan">
      <formula>0.3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B286-E2D1-4752-A03A-31656985B85B}">
  <dimension ref="A1:H24"/>
  <sheetViews>
    <sheetView zoomScale="112" zoomScaleNormal="112" workbookViewId="0">
      <pane ySplit="1" topLeftCell="A2" activePane="bottomLeft" state="frozen"/>
      <selection pane="bottomLeft" activeCell="A7" sqref="A7:XFD7"/>
    </sheetView>
  </sheetViews>
  <sheetFormatPr defaultRowHeight="15" x14ac:dyDescent="0.25"/>
  <cols>
    <col min="1" max="1" width="18.85546875" bestFit="1" customWidth="1"/>
    <col min="2" max="2" width="14.14062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2" bestFit="1" customWidth="1"/>
    <col min="7" max="7" width="10.7109375" customWidth="1"/>
    <col min="8" max="8" width="10.42578125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8.75" x14ac:dyDescent="0.3">
      <c r="A2" s="28" t="s">
        <v>129</v>
      </c>
      <c r="B2" s="28" t="s">
        <v>135</v>
      </c>
      <c r="C2" s="28">
        <v>3290</v>
      </c>
      <c r="D2" s="28">
        <v>184140</v>
      </c>
      <c r="E2" s="59">
        <v>53486.70747999999</v>
      </c>
      <c r="F2" s="29">
        <v>19.9573578966565</v>
      </c>
      <c r="G2" s="50">
        <f>E2/D2</f>
        <v>0.2904676196372325</v>
      </c>
      <c r="H2" s="99">
        <f>D2-E2</f>
        <v>130653.29252000002</v>
      </c>
    </row>
    <row r="3" spans="1:8" ht="15.75" x14ac:dyDescent="0.25">
      <c r="A3" s="4" t="s">
        <v>24</v>
      </c>
      <c r="B3" s="4" t="s">
        <v>32</v>
      </c>
      <c r="C3" s="4">
        <v>409</v>
      </c>
      <c r="D3" s="4">
        <v>22483</v>
      </c>
      <c r="E3" s="10">
        <v>6321</v>
      </c>
      <c r="F3" s="9">
        <f>E3/C3+2</f>
        <v>17.454767726161371</v>
      </c>
      <c r="G3" s="57">
        <f>E3/D3</f>
        <v>0.28114575457011964</v>
      </c>
      <c r="H3" s="99">
        <f>D3-E3</f>
        <v>16162</v>
      </c>
    </row>
    <row r="4" spans="1:8" ht="15.75" x14ac:dyDescent="0.25">
      <c r="A4" s="4" t="s">
        <v>16</v>
      </c>
      <c r="B4" s="4" t="s">
        <v>32</v>
      </c>
      <c r="C4" s="4">
        <v>273</v>
      </c>
      <c r="D4" s="4">
        <v>15405</v>
      </c>
      <c r="E4" s="10">
        <v>3685.5</v>
      </c>
      <c r="F4" s="9">
        <f>E4/C4+1.5</f>
        <v>15</v>
      </c>
      <c r="G4" s="57">
        <f>E4/D4</f>
        <v>0.23924050632911392</v>
      </c>
      <c r="H4" s="99">
        <f>D4-E4</f>
        <v>11719.5</v>
      </c>
    </row>
    <row r="5" spans="1:8" ht="15.75" x14ac:dyDescent="0.25">
      <c r="A5" s="4" t="s">
        <v>7</v>
      </c>
      <c r="B5" s="4" t="s">
        <v>107</v>
      </c>
      <c r="C5" s="4">
        <v>255</v>
      </c>
      <c r="D5" s="4">
        <v>14770</v>
      </c>
      <c r="E5" s="10">
        <v>3073.2599999999993</v>
      </c>
      <c r="F5" s="9">
        <f>12.052+3.8</f>
        <v>15.852</v>
      </c>
      <c r="G5" s="57">
        <f>E5/D5</f>
        <v>0.20807447528774539</v>
      </c>
      <c r="H5" s="99">
        <f>D5-E5</f>
        <v>11696.740000000002</v>
      </c>
    </row>
    <row r="6" spans="1:8" ht="15.75" x14ac:dyDescent="0.25">
      <c r="A6" s="4" t="s">
        <v>13</v>
      </c>
      <c r="B6" s="4" t="s">
        <v>32</v>
      </c>
      <c r="C6" s="4">
        <v>285</v>
      </c>
      <c r="D6" s="4">
        <v>16083</v>
      </c>
      <c r="E6" s="10">
        <v>4557</v>
      </c>
      <c r="F6" s="9">
        <f>E6/C6+2.4</f>
        <v>18.389473684210525</v>
      </c>
      <c r="G6" s="57">
        <f>E6/D6</f>
        <v>0.2833426599515016</v>
      </c>
      <c r="H6" s="99">
        <f>D6-E6</f>
        <v>11526</v>
      </c>
    </row>
    <row r="7" spans="1:8" ht="15.75" x14ac:dyDescent="0.25">
      <c r="A7" s="4" t="s">
        <v>6</v>
      </c>
      <c r="B7" s="4" t="s">
        <v>32</v>
      </c>
      <c r="C7" s="4">
        <v>314</v>
      </c>
      <c r="D7" s="4">
        <v>17223</v>
      </c>
      <c r="E7" s="10">
        <v>5827.5000000000009</v>
      </c>
      <c r="F7" s="9">
        <f>E7/C7+2.5</f>
        <v>21.058917197452232</v>
      </c>
      <c r="G7" s="57">
        <f>E7/D7</f>
        <v>0.3383556871625153</v>
      </c>
      <c r="H7" s="99">
        <f>D7-E7</f>
        <v>11395.5</v>
      </c>
    </row>
    <row r="8" spans="1:8" ht="15.75" x14ac:dyDescent="0.25">
      <c r="A8" s="4" t="s">
        <v>11</v>
      </c>
      <c r="B8" s="4" t="s">
        <v>32</v>
      </c>
      <c r="C8" s="4">
        <v>271</v>
      </c>
      <c r="D8" s="4">
        <v>15171</v>
      </c>
      <c r="E8" s="10">
        <v>4305.0000000000009</v>
      </c>
      <c r="F8" s="9">
        <f>E8/C8+1.1</f>
        <v>16.985608856088565</v>
      </c>
      <c r="G8" s="57">
        <f>E8/D8</f>
        <v>0.28376507810955115</v>
      </c>
      <c r="H8" s="99">
        <f>D8-E8</f>
        <v>10866</v>
      </c>
    </row>
    <row r="9" spans="1:8" ht="15.75" x14ac:dyDescent="0.25">
      <c r="A9" s="4" t="s">
        <v>59</v>
      </c>
      <c r="B9" s="4" t="s">
        <v>46</v>
      </c>
      <c r="C9" s="4">
        <v>234</v>
      </c>
      <c r="D9" s="4">
        <v>13382</v>
      </c>
      <c r="E9" s="10">
        <v>3738.8999999999992</v>
      </c>
      <c r="F9" s="9">
        <f>E9/C9+5.1</f>
        <v>21.078205128205123</v>
      </c>
      <c r="G9" s="57">
        <f>E9/D9</f>
        <v>0.27939769840083689</v>
      </c>
      <c r="H9" s="99">
        <f>D9-E9</f>
        <v>9643.1</v>
      </c>
    </row>
    <row r="10" spans="1:8" ht="15.75" x14ac:dyDescent="0.25">
      <c r="A10" s="4" t="s">
        <v>44</v>
      </c>
      <c r="B10" s="4" t="s">
        <v>83</v>
      </c>
      <c r="C10" s="4">
        <v>179</v>
      </c>
      <c r="D10" s="4">
        <v>10409</v>
      </c>
      <c r="E10" s="10">
        <v>2201.5000000000005</v>
      </c>
      <c r="F10" s="9">
        <f>E10/C10+3</f>
        <v>15.298882681564248</v>
      </c>
      <c r="G10" s="57">
        <f>E10/D10</f>
        <v>0.21149966375252191</v>
      </c>
      <c r="H10" s="99">
        <f>D10-E10</f>
        <v>8207.5</v>
      </c>
    </row>
    <row r="11" spans="1:8" ht="15.75" x14ac:dyDescent="0.25">
      <c r="A11" s="4" t="s">
        <v>22</v>
      </c>
      <c r="B11" s="4" t="s">
        <v>46</v>
      </c>
      <c r="C11" s="4">
        <v>184</v>
      </c>
      <c r="D11" s="4">
        <v>10034</v>
      </c>
      <c r="E11" s="10">
        <v>2916.1000000000004</v>
      </c>
      <c r="F11" s="9">
        <f>E11/C11+7</f>
        <v>22.848369565217393</v>
      </c>
      <c r="G11" s="57">
        <f>E11/D11</f>
        <v>0.29062188558899743</v>
      </c>
      <c r="H11" s="99">
        <f>D11-E11</f>
        <v>7117.9</v>
      </c>
    </row>
    <row r="12" spans="1:8" ht="15.75" x14ac:dyDescent="0.25">
      <c r="A12" s="4" t="s">
        <v>15</v>
      </c>
      <c r="B12" s="4" t="s">
        <v>32</v>
      </c>
      <c r="C12" s="4">
        <v>175</v>
      </c>
      <c r="D12" s="4">
        <v>9848</v>
      </c>
      <c r="E12" s="10">
        <v>3208</v>
      </c>
      <c r="F12" s="9">
        <f>E12/C12+5.5</f>
        <v>23.831428571428571</v>
      </c>
      <c r="G12" s="57">
        <f>E12/D12</f>
        <v>0.32575142160844839</v>
      </c>
      <c r="H12" s="99">
        <f>D12-E12</f>
        <v>6640</v>
      </c>
    </row>
    <row r="13" spans="1:8" ht="15.75" x14ac:dyDescent="0.25">
      <c r="A13" s="4" t="s">
        <v>9</v>
      </c>
      <c r="B13" s="4" t="s">
        <v>83</v>
      </c>
      <c r="C13" s="4">
        <v>150</v>
      </c>
      <c r="D13" s="4">
        <v>8252</v>
      </c>
      <c r="E13" s="10">
        <v>2108</v>
      </c>
      <c r="F13" s="9">
        <f>E13/C13+5.7</f>
        <v>19.753333333333334</v>
      </c>
      <c r="G13" s="57">
        <f>E13/D13</f>
        <v>0.25545322346097915</v>
      </c>
      <c r="H13" s="99">
        <f>D13-E13</f>
        <v>6144</v>
      </c>
    </row>
    <row r="14" spans="1:8" ht="15.75" x14ac:dyDescent="0.25">
      <c r="A14" s="4" t="s">
        <v>55</v>
      </c>
      <c r="B14" s="4" t="s">
        <v>46</v>
      </c>
      <c r="C14" s="4">
        <v>96</v>
      </c>
      <c r="D14" s="4">
        <v>5378</v>
      </c>
      <c r="E14" s="10">
        <v>1439.8999999999999</v>
      </c>
      <c r="F14" s="9">
        <f>E14/C14+5.3</f>
        <v>20.298958333333331</v>
      </c>
      <c r="G14" s="57">
        <f>E14/D14</f>
        <v>0.26773893640758645</v>
      </c>
      <c r="H14" s="99">
        <f>D14-E14</f>
        <v>3938.1000000000004</v>
      </c>
    </row>
    <row r="15" spans="1:8" ht="15.75" x14ac:dyDescent="0.25">
      <c r="A15" s="4" t="s">
        <v>35</v>
      </c>
      <c r="B15" s="4" t="s">
        <v>83</v>
      </c>
      <c r="C15" s="4">
        <v>62</v>
      </c>
      <c r="D15" s="4">
        <v>3490</v>
      </c>
      <c r="E15" s="10">
        <v>952.00000000000011</v>
      </c>
      <c r="F15" s="9">
        <f>E15/C15+9.1</f>
        <v>24.454838709677421</v>
      </c>
      <c r="G15" s="57">
        <f>E15/D15</f>
        <v>0.27277936962750721</v>
      </c>
      <c r="H15" s="99">
        <f>D15-E15</f>
        <v>2538</v>
      </c>
    </row>
    <row r="16" spans="1:8" ht="15.75" x14ac:dyDescent="0.25">
      <c r="A16" s="4" t="s">
        <v>12</v>
      </c>
      <c r="B16" s="4" t="s">
        <v>32</v>
      </c>
      <c r="C16" s="4">
        <v>78</v>
      </c>
      <c r="D16" s="4">
        <v>4467</v>
      </c>
      <c r="E16" s="10">
        <v>2068.4999999999995</v>
      </c>
      <c r="F16" s="9">
        <f>E16/C16+2.7</f>
        <v>29.219230769230762</v>
      </c>
      <c r="G16" s="57">
        <f>E16/D16</f>
        <v>0.46306245802552037</v>
      </c>
      <c r="H16" s="99">
        <f>D16-E16</f>
        <v>2398.5000000000005</v>
      </c>
    </row>
    <row r="17" spans="1:8" ht="15.75" x14ac:dyDescent="0.25">
      <c r="A17" s="4" t="s">
        <v>41</v>
      </c>
      <c r="B17" s="4" t="s">
        <v>83</v>
      </c>
      <c r="C17" s="4">
        <v>55</v>
      </c>
      <c r="D17" s="4">
        <v>3011</v>
      </c>
      <c r="E17" s="10">
        <v>943.49999999999989</v>
      </c>
      <c r="F17" s="9">
        <f>E17/C17+5.8</f>
        <v>22.954545454545453</v>
      </c>
      <c r="G17" s="57">
        <f>E17/D17</f>
        <v>0.31335104616406506</v>
      </c>
      <c r="H17" s="99">
        <f>D17-E17</f>
        <v>2067.5</v>
      </c>
    </row>
    <row r="18" spans="1:8" ht="15.75" x14ac:dyDescent="0.25">
      <c r="A18" s="4" t="s">
        <v>8</v>
      </c>
      <c r="B18" s="4" t="s">
        <v>63</v>
      </c>
      <c r="C18" s="4">
        <v>56</v>
      </c>
      <c r="D18" s="4">
        <v>3153</v>
      </c>
      <c r="E18" s="10">
        <v>1182.3474799999999</v>
      </c>
      <c r="F18" s="9">
        <v>21.113347857142902</v>
      </c>
      <c r="G18" s="57">
        <f>E18/D18</f>
        <v>0.37499127180463049</v>
      </c>
      <c r="H18" s="99">
        <f>D18-E18</f>
        <v>1970.6525200000001</v>
      </c>
    </row>
    <row r="19" spans="1:8" ht="15.75" x14ac:dyDescent="0.25">
      <c r="A19" s="4" t="s">
        <v>20</v>
      </c>
      <c r="B19" s="4" t="s">
        <v>83</v>
      </c>
      <c r="C19" s="4">
        <v>56</v>
      </c>
      <c r="D19" s="4">
        <v>3005</v>
      </c>
      <c r="E19" s="10">
        <v>1198.5</v>
      </c>
      <c r="F19" s="9">
        <f>E19/C19+5.4</f>
        <v>26.801785714285714</v>
      </c>
      <c r="G19" s="57">
        <f>E19/D19</f>
        <v>0.39883527454242929</v>
      </c>
      <c r="H19" s="99">
        <f>D19-E19</f>
        <v>1806.5</v>
      </c>
    </row>
    <row r="20" spans="1:8" ht="15.75" x14ac:dyDescent="0.25">
      <c r="A20" s="4" t="s">
        <v>52</v>
      </c>
      <c r="B20" s="4" t="s">
        <v>46</v>
      </c>
      <c r="C20" s="4">
        <v>50</v>
      </c>
      <c r="D20" s="4">
        <v>2643</v>
      </c>
      <c r="E20" s="10">
        <v>847</v>
      </c>
      <c r="F20" s="9">
        <f>E20/C20+8.2</f>
        <v>25.14</v>
      </c>
      <c r="G20" s="57">
        <f>E20/D20</f>
        <v>0.32046916382898222</v>
      </c>
      <c r="H20" s="99">
        <f>D20-E20</f>
        <v>1796</v>
      </c>
    </row>
    <row r="21" spans="1:8" ht="15.75" x14ac:dyDescent="0.25">
      <c r="A21" s="4" t="s">
        <v>39</v>
      </c>
      <c r="B21" s="4" t="s">
        <v>46</v>
      </c>
      <c r="C21" s="4">
        <v>55</v>
      </c>
      <c r="D21" s="4">
        <v>3099</v>
      </c>
      <c r="E21" s="10">
        <v>1355.2</v>
      </c>
      <c r="F21" s="9">
        <f>E21/C21+6.2</f>
        <v>30.84</v>
      </c>
      <c r="G21" s="57">
        <f>E21/D21</f>
        <v>0.43730235559858022</v>
      </c>
      <c r="H21" s="99">
        <f>D21-E21</f>
        <v>1743.8</v>
      </c>
    </row>
    <row r="22" spans="1:8" ht="15.75" x14ac:dyDescent="0.25">
      <c r="A22" s="4" t="s">
        <v>19</v>
      </c>
      <c r="B22" s="4" t="s">
        <v>46</v>
      </c>
      <c r="C22" s="4">
        <v>30</v>
      </c>
      <c r="D22" s="4">
        <v>1621</v>
      </c>
      <c r="E22" s="10">
        <v>665.5</v>
      </c>
      <c r="F22" s="9">
        <f>E22/C22+8.4</f>
        <v>30.583333333333336</v>
      </c>
      <c r="G22" s="57">
        <f>E22/D22</f>
        <v>0.41054904380012336</v>
      </c>
      <c r="H22" s="99">
        <f>D22-E22</f>
        <v>955.5</v>
      </c>
    </row>
    <row r="23" spans="1:8" ht="15.75" x14ac:dyDescent="0.25">
      <c r="A23" s="4" t="s">
        <v>74</v>
      </c>
      <c r="B23" s="4" t="s">
        <v>83</v>
      </c>
      <c r="C23" s="4">
        <v>14</v>
      </c>
      <c r="D23" s="4">
        <v>792</v>
      </c>
      <c r="E23" s="10">
        <v>467.50000000000006</v>
      </c>
      <c r="F23" s="9">
        <f>E23/C23+7.7</f>
        <v>41.092857142857149</v>
      </c>
      <c r="G23" s="57">
        <f>E23/D23</f>
        <v>0.5902777777777779</v>
      </c>
      <c r="H23" s="99">
        <f>D23-E23</f>
        <v>324.49999999999994</v>
      </c>
    </row>
    <row r="24" spans="1:8" ht="15.75" x14ac:dyDescent="0.25">
      <c r="A24" s="4" t="s">
        <v>42</v>
      </c>
      <c r="B24" s="4" t="s">
        <v>83</v>
      </c>
      <c r="C24" s="4">
        <v>9</v>
      </c>
      <c r="D24" s="4">
        <v>421</v>
      </c>
      <c r="E24" s="10">
        <v>425</v>
      </c>
      <c r="F24" s="9">
        <f>E24/C24+5.1</f>
        <v>52.322222222222223</v>
      </c>
      <c r="G24" s="57">
        <f>E24/D24</f>
        <v>1.0095011876484561</v>
      </c>
      <c r="H24" s="99">
        <f>D24-E24</f>
        <v>-4</v>
      </c>
    </row>
  </sheetData>
  <sortState xmlns:xlrd2="http://schemas.microsoft.com/office/spreadsheetml/2017/richdata2" ref="A2:H24">
    <sortCondition descending="1" ref="H1:H24"/>
  </sortState>
  <conditionalFormatting sqref="G2:G24">
    <cfRule type="top10" dxfId="18" priority="1" bottom="1" rank="5"/>
    <cfRule type="cellIs" dxfId="17" priority="2" operator="greaterThan">
      <formula>0.3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5218-0D72-4669-AB5A-E384102D1078}">
  <dimension ref="A1:H29"/>
  <sheetViews>
    <sheetView zoomScale="106" zoomScaleNormal="106" workbookViewId="0">
      <pane ySplit="1" topLeftCell="A2" activePane="bottomLeft" state="frozen"/>
      <selection pane="bottomLeft" activeCell="H3" sqref="A3:H11"/>
    </sheetView>
  </sheetViews>
  <sheetFormatPr defaultRowHeight="15" x14ac:dyDescent="0.25"/>
  <cols>
    <col min="1" max="1" width="18.85546875" bestFit="1" customWidth="1"/>
    <col min="2" max="2" width="21.710937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  <col min="8" max="8" width="9.140625" style="19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100" t="s">
        <v>159</v>
      </c>
    </row>
    <row r="2" spans="1:8" ht="18.75" x14ac:dyDescent="0.3">
      <c r="A2" s="23" t="s">
        <v>129</v>
      </c>
      <c r="B2" s="23" t="s">
        <v>136</v>
      </c>
      <c r="C2" s="23">
        <v>5309</v>
      </c>
      <c r="D2" s="23">
        <v>296720</v>
      </c>
      <c r="E2" s="25">
        <v>76535.131629999989</v>
      </c>
      <c r="F2" s="24">
        <v>18.116110685628176</v>
      </c>
      <c r="G2" s="60">
        <f>E2/D2</f>
        <v>0.25793721902803984</v>
      </c>
      <c r="H2" s="101">
        <f>D2-E2</f>
        <v>220184.86837000001</v>
      </c>
    </row>
    <row r="3" spans="1:8" ht="15.75" x14ac:dyDescent="0.25">
      <c r="A3" s="4" t="s">
        <v>6</v>
      </c>
      <c r="B3" s="4" t="s">
        <v>106</v>
      </c>
      <c r="C3" s="4">
        <v>553</v>
      </c>
      <c r="D3" s="4">
        <v>30519</v>
      </c>
      <c r="E3" s="10">
        <v>7258.125</v>
      </c>
      <c r="F3" s="9">
        <f>E3/C3+2.5</f>
        <v>15.625</v>
      </c>
      <c r="G3" s="57">
        <f>E3/D3</f>
        <v>0.23782315934335987</v>
      </c>
      <c r="H3" s="101">
        <f>D3-E3</f>
        <v>23260.875</v>
      </c>
    </row>
    <row r="4" spans="1:8" ht="15.75" x14ac:dyDescent="0.25">
      <c r="A4" s="4" t="s">
        <v>24</v>
      </c>
      <c r="B4" s="4" t="s">
        <v>106</v>
      </c>
      <c r="C4" s="4">
        <v>487</v>
      </c>
      <c r="D4" s="4">
        <v>26668</v>
      </c>
      <c r="E4" s="10">
        <v>6300</v>
      </c>
      <c r="F4" s="9">
        <f>E4/C4+2</f>
        <v>14.936344969199178</v>
      </c>
      <c r="G4" s="57">
        <f>E4/D4</f>
        <v>0.23623818809059546</v>
      </c>
      <c r="H4" s="101">
        <f>D4-E4</f>
        <v>20368</v>
      </c>
    </row>
    <row r="5" spans="1:8" ht="15.75" x14ac:dyDescent="0.25">
      <c r="A5" s="4" t="s">
        <v>16</v>
      </c>
      <c r="B5" s="4" t="s">
        <v>106</v>
      </c>
      <c r="C5" s="4">
        <v>366</v>
      </c>
      <c r="D5" s="4">
        <v>20994</v>
      </c>
      <c r="E5" s="10">
        <v>4407.3750000000009</v>
      </c>
      <c r="F5" s="9">
        <f>E5/C5+1.5</f>
        <v>13.542008196721314</v>
      </c>
      <c r="G5" s="57">
        <f>E5/D5</f>
        <v>0.20993498142326383</v>
      </c>
      <c r="H5" s="101">
        <f>D5-E5</f>
        <v>16586.625</v>
      </c>
    </row>
    <row r="6" spans="1:8" ht="15.75" x14ac:dyDescent="0.25">
      <c r="A6" s="4" t="s">
        <v>7</v>
      </c>
      <c r="B6" s="4" t="s">
        <v>111</v>
      </c>
      <c r="C6" s="4">
        <v>352</v>
      </c>
      <c r="D6" s="4">
        <v>20064</v>
      </c>
      <c r="E6" s="10">
        <v>4142.2199999999993</v>
      </c>
      <c r="F6" s="9">
        <f>11.7676704545455+3.7</f>
        <v>15.467670454545502</v>
      </c>
      <c r="G6" s="57">
        <f>E6/D6</f>
        <v>0.20645035885167462</v>
      </c>
      <c r="H6" s="101">
        <f>D6-E6</f>
        <v>15921.78</v>
      </c>
    </row>
    <row r="7" spans="1:8" ht="15.75" x14ac:dyDescent="0.25">
      <c r="A7" s="4" t="s">
        <v>11</v>
      </c>
      <c r="B7" s="4" t="s">
        <v>106</v>
      </c>
      <c r="C7" s="4">
        <v>361</v>
      </c>
      <c r="D7" s="4">
        <v>20455</v>
      </c>
      <c r="E7" s="10">
        <v>5089.8750000000009</v>
      </c>
      <c r="F7" s="9">
        <f>E7/C7+1.1</f>
        <v>15.199376731301941</v>
      </c>
      <c r="G7" s="57">
        <f>E7/D7</f>
        <v>0.24883280371547303</v>
      </c>
      <c r="H7" s="101">
        <f>D7-E7</f>
        <v>15365.125</v>
      </c>
    </row>
    <row r="8" spans="1:8" ht="15.75" x14ac:dyDescent="0.25">
      <c r="A8" s="4" t="s">
        <v>13</v>
      </c>
      <c r="B8" s="4" t="s">
        <v>106</v>
      </c>
      <c r="C8" s="4">
        <v>327</v>
      </c>
      <c r="D8" s="4">
        <v>18283</v>
      </c>
      <c r="E8" s="10">
        <v>3559.4999999999995</v>
      </c>
      <c r="F8" s="9">
        <f>E8/C8+2.4</f>
        <v>13.285321100917431</v>
      </c>
      <c r="G8" s="57">
        <f>E8/D8</f>
        <v>0.1946890554066619</v>
      </c>
      <c r="H8" s="101">
        <f>D8-E8</f>
        <v>14723.5</v>
      </c>
    </row>
    <row r="9" spans="1:8" ht="15.75" x14ac:dyDescent="0.25">
      <c r="A9" s="4" t="s">
        <v>17</v>
      </c>
      <c r="B9" s="4" t="s">
        <v>106</v>
      </c>
      <c r="C9" s="4">
        <v>346</v>
      </c>
      <c r="D9" s="4">
        <v>18506</v>
      </c>
      <c r="E9" s="10">
        <v>4530.7499999999991</v>
      </c>
      <c r="F9" s="9">
        <f>E9/C9+2.3</f>
        <v>15.394653179190747</v>
      </c>
      <c r="G9" s="57">
        <f>E9/D9</f>
        <v>0.24482600237760721</v>
      </c>
      <c r="H9" s="101">
        <f>D9-E9</f>
        <v>13975.25</v>
      </c>
    </row>
    <row r="10" spans="1:8" ht="15.75" x14ac:dyDescent="0.25">
      <c r="A10" s="4" t="s">
        <v>9</v>
      </c>
      <c r="B10" s="4" t="s">
        <v>84</v>
      </c>
      <c r="C10" s="4">
        <v>303</v>
      </c>
      <c r="D10" s="4">
        <v>17077</v>
      </c>
      <c r="E10" s="10">
        <v>3501.9999999999995</v>
      </c>
      <c r="F10" s="9">
        <f>E10/C10+5.7</f>
        <v>17.257755775577557</v>
      </c>
      <c r="G10" s="57">
        <f>E10/D10</f>
        <v>0.20507114832816065</v>
      </c>
      <c r="H10" s="101">
        <f>D10-E10</f>
        <v>13575</v>
      </c>
    </row>
    <row r="11" spans="1:8" ht="15.75" x14ac:dyDescent="0.25">
      <c r="A11" s="4" t="s">
        <v>44</v>
      </c>
      <c r="B11" s="4" t="s">
        <v>84</v>
      </c>
      <c r="C11" s="4">
        <v>242</v>
      </c>
      <c r="D11" s="4">
        <v>14097</v>
      </c>
      <c r="E11" s="10">
        <v>2694.5</v>
      </c>
      <c r="F11" s="9">
        <f>E11/C11+3</f>
        <v>14.134297520661157</v>
      </c>
      <c r="G11" s="57">
        <f>E11/D11</f>
        <v>0.19113995885649429</v>
      </c>
      <c r="H11" s="101">
        <f>D11-E11</f>
        <v>11402.5</v>
      </c>
    </row>
    <row r="12" spans="1:8" ht="15.75" x14ac:dyDescent="0.25">
      <c r="A12" s="4" t="s">
        <v>22</v>
      </c>
      <c r="B12" s="4" t="s">
        <v>53</v>
      </c>
      <c r="C12" s="4">
        <v>261</v>
      </c>
      <c r="D12" s="4">
        <v>14285</v>
      </c>
      <c r="E12" s="10">
        <v>3778.2250000000008</v>
      </c>
      <c r="F12" s="9">
        <f>E12/C12+7</f>
        <v>21.475957854406133</v>
      </c>
      <c r="G12" s="57">
        <f>E12/D12</f>
        <v>0.26448897444872249</v>
      </c>
      <c r="H12" s="101">
        <f>D12-E12</f>
        <v>10506.775</v>
      </c>
    </row>
    <row r="13" spans="1:8" ht="15.75" x14ac:dyDescent="0.25">
      <c r="A13" s="4" t="s">
        <v>15</v>
      </c>
      <c r="B13" s="4" t="s">
        <v>106</v>
      </c>
      <c r="C13" s="4">
        <v>242</v>
      </c>
      <c r="D13" s="4">
        <v>13712</v>
      </c>
      <c r="E13" s="10">
        <v>4652</v>
      </c>
      <c r="F13" s="9">
        <f>E13/C13+5.5</f>
        <v>24.723140495867767</v>
      </c>
      <c r="G13" s="57">
        <f>E13/D13</f>
        <v>0.33926487747957995</v>
      </c>
      <c r="H13" s="101">
        <f>D13-E13</f>
        <v>9060</v>
      </c>
    </row>
    <row r="14" spans="1:8" ht="15.75" x14ac:dyDescent="0.25">
      <c r="A14" s="4" t="s">
        <v>59</v>
      </c>
      <c r="B14" s="4" t="s">
        <v>53</v>
      </c>
      <c r="C14" s="4">
        <v>200</v>
      </c>
      <c r="D14" s="4">
        <v>11127</v>
      </c>
      <c r="E14" s="10">
        <v>3469.6749999999997</v>
      </c>
      <c r="F14" s="9">
        <f>E14/C14+5.1</f>
        <v>22.448374999999999</v>
      </c>
      <c r="G14" s="57">
        <f>E14/D14</f>
        <v>0.31182484047811626</v>
      </c>
      <c r="H14" s="101">
        <f>D14-E14</f>
        <v>7657.3250000000007</v>
      </c>
    </row>
    <row r="15" spans="1:8" ht="15.75" x14ac:dyDescent="0.25">
      <c r="A15" s="4" t="s">
        <v>35</v>
      </c>
      <c r="B15" s="4" t="s">
        <v>84</v>
      </c>
      <c r="C15" s="4">
        <v>139</v>
      </c>
      <c r="D15" s="4">
        <v>8028</v>
      </c>
      <c r="E15" s="10">
        <v>2313</v>
      </c>
      <c r="F15" s="9">
        <f>E15/C15+9.1</f>
        <v>25.740287769784175</v>
      </c>
      <c r="G15" s="57">
        <f>E15/D15</f>
        <v>0.28811659192825112</v>
      </c>
      <c r="H15" s="101">
        <f>D15-E15</f>
        <v>5715</v>
      </c>
    </row>
    <row r="16" spans="1:8" ht="15.75" x14ac:dyDescent="0.25">
      <c r="A16" s="4" t="s">
        <v>55</v>
      </c>
      <c r="B16" s="4" t="s">
        <v>53</v>
      </c>
      <c r="C16" s="4">
        <v>136</v>
      </c>
      <c r="D16" s="4">
        <v>7535</v>
      </c>
      <c r="E16" s="10">
        <v>1899.7</v>
      </c>
      <c r="F16" s="9">
        <f>E16/C16+5.3</f>
        <v>19.268382352941178</v>
      </c>
      <c r="G16" s="57">
        <f>E16/D16</f>
        <v>0.25211678832116791</v>
      </c>
      <c r="H16" s="101">
        <f>D16-E16</f>
        <v>5635.3</v>
      </c>
    </row>
    <row r="17" spans="1:8" ht="15.75" x14ac:dyDescent="0.25">
      <c r="A17" s="4" t="s">
        <v>39</v>
      </c>
      <c r="B17" s="4" t="s">
        <v>53</v>
      </c>
      <c r="C17" s="4">
        <v>114</v>
      </c>
      <c r="D17" s="4">
        <v>6642</v>
      </c>
      <c r="E17" s="10">
        <v>1869.4499999999998</v>
      </c>
      <c r="F17" s="9">
        <f>E17/C17+6.2</f>
        <v>22.598684210526315</v>
      </c>
      <c r="G17" s="57">
        <f>E17/D17</f>
        <v>0.28145889792231255</v>
      </c>
      <c r="H17" s="101">
        <f>D17-E17</f>
        <v>4772.55</v>
      </c>
    </row>
    <row r="18" spans="1:8" ht="15.75" x14ac:dyDescent="0.25">
      <c r="A18" s="4" t="s">
        <v>47</v>
      </c>
      <c r="B18" s="4" t="s">
        <v>53</v>
      </c>
      <c r="C18" s="4">
        <v>126</v>
      </c>
      <c r="D18" s="4">
        <v>7103</v>
      </c>
      <c r="E18" s="10">
        <v>2613.6000000000004</v>
      </c>
      <c r="F18" s="9">
        <f>E18/C18+5.6</f>
        <v>26.342857142857149</v>
      </c>
      <c r="G18" s="57">
        <f>E18/D18</f>
        <v>0.36795720118259895</v>
      </c>
      <c r="H18" s="101">
        <f>D18-E18</f>
        <v>4489.3999999999996</v>
      </c>
    </row>
    <row r="19" spans="1:8" ht="15.75" x14ac:dyDescent="0.25">
      <c r="A19" s="4" t="s">
        <v>12</v>
      </c>
      <c r="B19" s="4" t="s">
        <v>106</v>
      </c>
      <c r="C19" s="4">
        <v>109</v>
      </c>
      <c r="D19" s="4">
        <v>6261</v>
      </c>
      <c r="E19" s="10">
        <v>2341.5</v>
      </c>
      <c r="F19" s="9">
        <f>E19/C19+2.7</f>
        <v>24.181651376146789</v>
      </c>
      <c r="G19" s="57">
        <f>E19/D19</f>
        <v>0.37398179204599902</v>
      </c>
      <c r="H19" s="101">
        <f>D19-E19</f>
        <v>3919.5</v>
      </c>
    </row>
    <row r="20" spans="1:8" ht="15.75" x14ac:dyDescent="0.25">
      <c r="A20" s="4" t="s">
        <v>18</v>
      </c>
      <c r="B20" s="4" t="s">
        <v>84</v>
      </c>
      <c r="C20" s="4">
        <v>95</v>
      </c>
      <c r="D20" s="4">
        <v>5030</v>
      </c>
      <c r="E20" s="10">
        <v>1291.9999999999998</v>
      </c>
      <c r="F20" s="9">
        <f>E20/C20+4.8</f>
        <v>18.399999999999999</v>
      </c>
      <c r="G20" s="57">
        <f>E20/D20</f>
        <v>0.25685884691848904</v>
      </c>
      <c r="H20" s="101">
        <f>D20-E20</f>
        <v>3738</v>
      </c>
    </row>
    <row r="21" spans="1:8" ht="15.75" x14ac:dyDescent="0.25">
      <c r="A21" s="4" t="s">
        <v>54</v>
      </c>
      <c r="B21" s="4" t="s">
        <v>84</v>
      </c>
      <c r="C21" s="4">
        <v>93</v>
      </c>
      <c r="D21" s="4">
        <v>5179</v>
      </c>
      <c r="E21" s="10">
        <v>1683</v>
      </c>
      <c r="F21" s="9">
        <f>E21/C21+3.5</f>
        <v>21.596774193548388</v>
      </c>
      <c r="G21" s="57">
        <f>E21/D21</f>
        <v>0.32496620969299095</v>
      </c>
      <c r="H21" s="101">
        <f>D21-E21</f>
        <v>3496</v>
      </c>
    </row>
    <row r="22" spans="1:8" ht="15.75" x14ac:dyDescent="0.25">
      <c r="A22" s="4" t="s">
        <v>41</v>
      </c>
      <c r="B22" s="4" t="s">
        <v>84</v>
      </c>
      <c r="C22" s="4">
        <v>79</v>
      </c>
      <c r="D22" s="4">
        <v>4406</v>
      </c>
      <c r="E22" s="10">
        <v>1241</v>
      </c>
      <c r="F22" s="9">
        <f>E22/C22+5.8</f>
        <v>21.508860759493672</v>
      </c>
      <c r="G22" s="57">
        <f>E22/D22</f>
        <v>0.28166137085792103</v>
      </c>
      <c r="H22" s="101">
        <f>D22-E22</f>
        <v>3165</v>
      </c>
    </row>
    <row r="23" spans="1:8" ht="15.75" x14ac:dyDescent="0.25">
      <c r="A23" s="4" t="s">
        <v>20</v>
      </c>
      <c r="B23" s="4" t="s">
        <v>84</v>
      </c>
      <c r="C23" s="4">
        <v>85</v>
      </c>
      <c r="D23" s="4">
        <v>4691</v>
      </c>
      <c r="E23" s="10">
        <v>1530.0000000000002</v>
      </c>
      <c r="F23" s="9">
        <f>E23/C23+5.4</f>
        <v>23.400000000000006</v>
      </c>
      <c r="G23" s="57">
        <f>E23/D23</f>
        <v>0.32615646983585594</v>
      </c>
      <c r="H23" s="101">
        <f>D23-E23</f>
        <v>3161</v>
      </c>
    </row>
    <row r="24" spans="1:8" ht="15.75" x14ac:dyDescent="0.25">
      <c r="A24" s="4" t="s">
        <v>8</v>
      </c>
      <c r="B24" s="4" t="s">
        <v>66</v>
      </c>
      <c r="C24" s="4">
        <v>76</v>
      </c>
      <c r="D24" s="4">
        <v>4317</v>
      </c>
      <c r="E24" s="10">
        <v>1665.7616299999997</v>
      </c>
      <c r="F24" s="9">
        <v>21.917916184210501</v>
      </c>
      <c r="G24" s="57">
        <f>E24/D24</f>
        <v>0.38586092888580026</v>
      </c>
      <c r="H24" s="101">
        <f>D24-E24</f>
        <v>2651.23837</v>
      </c>
    </row>
    <row r="25" spans="1:8" ht="15.75" x14ac:dyDescent="0.25">
      <c r="A25" s="4" t="s">
        <v>52</v>
      </c>
      <c r="B25" s="4" t="s">
        <v>53</v>
      </c>
      <c r="C25" s="4">
        <v>76</v>
      </c>
      <c r="D25" s="4">
        <v>4157</v>
      </c>
      <c r="E25" s="10">
        <v>1603.2500000000002</v>
      </c>
      <c r="F25" s="9">
        <f>E25/C25+8.2</f>
        <v>29.295394736842109</v>
      </c>
      <c r="G25" s="57">
        <f>E25/D25</f>
        <v>0.38567476545585766</v>
      </c>
      <c r="H25" s="101">
        <f>D25-E25</f>
        <v>2553.75</v>
      </c>
    </row>
    <row r="26" spans="1:8" ht="15.75" x14ac:dyDescent="0.25">
      <c r="A26" s="4" t="s">
        <v>74</v>
      </c>
      <c r="B26" s="4" t="s">
        <v>84</v>
      </c>
      <c r="C26" s="4">
        <v>60</v>
      </c>
      <c r="D26" s="4">
        <v>3302</v>
      </c>
      <c r="E26" s="10">
        <v>918.00000000000011</v>
      </c>
      <c r="F26" s="9">
        <f>E26/C26+7.7</f>
        <v>23.000000000000004</v>
      </c>
      <c r="G26" s="57">
        <f>E26/D26</f>
        <v>0.27801332525741979</v>
      </c>
      <c r="H26" s="101">
        <f>D26-E26</f>
        <v>2384</v>
      </c>
    </row>
    <row r="27" spans="1:8" ht="15.75" x14ac:dyDescent="0.25">
      <c r="A27" s="4" t="s">
        <v>19</v>
      </c>
      <c r="B27" s="4" t="s">
        <v>53</v>
      </c>
      <c r="C27" s="4">
        <v>58</v>
      </c>
      <c r="D27" s="4">
        <v>3171</v>
      </c>
      <c r="E27" s="10">
        <v>922.62500000000023</v>
      </c>
      <c r="F27" s="9">
        <f>E27/C27+8.4</f>
        <v>24.307327586206902</v>
      </c>
      <c r="G27" s="57">
        <f>E27/D27</f>
        <v>0.29095711132134983</v>
      </c>
      <c r="H27" s="101">
        <f>D27-E27</f>
        <v>2248.375</v>
      </c>
    </row>
    <row r="28" spans="1:8" ht="15.75" x14ac:dyDescent="0.25">
      <c r="A28" s="4" t="s">
        <v>42</v>
      </c>
      <c r="B28" s="4" t="s">
        <v>84</v>
      </c>
      <c r="C28" s="4">
        <v>8</v>
      </c>
      <c r="D28" s="4">
        <v>364</v>
      </c>
      <c r="E28" s="10">
        <v>424.99999999999994</v>
      </c>
      <c r="F28" s="9">
        <f>E28/C28+5.1</f>
        <v>58.224999999999994</v>
      </c>
      <c r="G28" s="57">
        <f>E28/D28</f>
        <v>1.1675824175824174</v>
      </c>
      <c r="H28" s="101">
        <f>D28-E28</f>
        <v>-60.999999999999943</v>
      </c>
    </row>
    <row r="29" spans="1:8" ht="15.75" x14ac:dyDescent="0.25">
      <c r="A29" s="4" t="s">
        <v>40</v>
      </c>
      <c r="B29" s="4" t="s">
        <v>84</v>
      </c>
      <c r="C29" s="4">
        <v>15</v>
      </c>
      <c r="D29" s="4">
        <v>747</v>
      </c>
      <c r="E29" s="10">
        <v>833</v>
      </c>
      <c r="F29" s="9">
        <f>E29/C29+8.3</f>
        <v>63.833333333333329</v>
      </c>
      <c r="G29" s="57">
        <f>E29/D29</f>
        <v>1.1151271753681393</v>
      </c>
      <c r="H29" s="101">
        <f>D29-E29</f>
        <v>-86</v>
      </c>
    </row>
  </sheetData>
  <autoFilter ref="A1:F28" xr:uid="{C49F5218-0D72-4669-AB5A-E384102D1078}">
    <sortState xmlns:xlrd2="http://schemas.microsoft.com/office/spreadsheetml/2017/richdata2" ref="A2:F28">
      <sortCondition descending="1" ref="C1:C28"/>
    </sortState>
  </autoFilter>
  <sortState xmlns:xlrd2="http://schemas.microsoft.com/office/spreadsheetml/2017/richdata2" ref="A2:H29">
    <sortCondition descending="1" ref="H1:H29"/>
  </sortState>
  <conditionalFormatting sqref="G2:G29">
    <cfRule type="top10" dxfId="16" priority="1" bottom="1" rank="5"/>
    <cfRule type="cellIs" dxfId="15" priority="2" operator="greaterThan">
      <formula>0.3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129F-FE18-440D-AB46-E15381397761}">
  <dimension ref="A1:H18"/>
  <sheetViews>
    <sheetView zoomScale="98" zoomScaleNormal="98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16.85546875" bestFit="1" customWidth="1"/>
    <col min="2" max="2" width="15.7109375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</cols>
  <sheetData>
    <row r="1" spans="1:8" ht="16.5" thickTop="1" x14ac:dyDescent="0.25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0" t="s">
        <v>126</v>
      </c>
      <c r="H1" s="100" t="s">
        <v>159</v>
      </c>
    </row>
    <row r="2" spans="1:8" ht="18.75" x14ac:dyDescent="0.3">
      <c r="A2" s="23" t="s">
        <v>129</v>
      </c>
      <c r="B2" s="23" t="s">
        <v>137</v>
      </c>
      <c r="C2" s="23">
        <v>2243</v>
      </c>
      <c r="D2" s="23">
        <v>195752</v>
      </c>
      <c r="E2" s="25">
        <v>43588.94</v>
      </c>
      <c r="F2" s="24">
        <v>23.13332144449398</v>
      </c>
      <c r="G2" s="60">
        <f>E2/D2</f>
        <v>0.22267430217826639</v>
      </c>
      <c r="H2" s="99">
        <f>D2-E2</f>
        <v>152163.06</v>
      </c>
    </row>
    <row r="3" spans="1:8" ht="15.75" x14ac:dyDescent="0.25">
      <c r="A3" s="4" t="s">
        <v>13</v>
      </c>
      <c r="B3" s="4" t="s">
        <v>37</v>
      </c>
      <c r="C3" s="4">
        <v>602</v>
      </c>
      <c r="D3" s="4">
        <v>52736</v>
      </c>
      <c r="E3" s="10">
        <v>6852.9999999999991</v>
      </c>
      <c r="F3" s="9">
        <f>E3/C3</f>
        <v>11.383720930232556</v>
      </c>
      <c r="G3" s="57">
        <f>E3/D3</f>
        <v>0.1299491808252427</v>
      </c>
      <c r="H3" s="99">
        <f>D3-E3</f>
        <v>45883</v>
      </c>
    </row>
    <row r="4" spans="1:8" ht="15.75" x14ac:dyDescent="0.25">
      <c r="A4" s="4" t="s">
        <v>7</v>
      </c>
      <c r="B4" s="4" t="s">
        <v>79</v>
      </c>
      <c r="C4" s="4">
        <v>318</v>
      </c>
      <c r="D4" s="4">
        <v>27664</v>
      </c>
      <c r="E4" s="10">
        <v>5716.4400000000005</v>
      </c>
      <c r="F4" s="9">
        <f>17.9762264150943+3.8</f>
        <v>21.7762264150943</v>
      </c>
      <c r="G4" s="57">
        <f>E4/D4</f>
        <v>0.20663823019086178</v>
      </c>
      <c r="H4" s="99">
        <f>D4-E4</f>
        <v>21947.559999999998</v>
      </c>
    </row>
    <row r="5" spans="1:8" ht="15.75" x14ac:dyDescent="0.25">
      <c r="A5" s="4" t="s">
        <v>24</v>
      </c>
      <c r="B5" s="4" t="s">
        <v>37</v>
      </c>
      <c r="C5" s="4">
        <v>198</v>
      </c>
      <c r="D5" s="4">
        <v>17303</v>
      </c>
      <c r="E5" s="10">
        <v>3729.0000000000005</v>
      </c>
      <c r="F5" s="9">
        <f>E5/C5+2</f>
        <v>20.833333333333336</v>
      </c>
      <c r="G5" s="57">
        <f>E5/D5</f>
        <v>0.21551176096630645</v>
      </c>
      <c r="H5" s="99">
        <f>D5-E5</f>
        <v>13574</v>
      </c>
    </row>
    <row r="6" spans="1:8" ht="15.75" x14ac:dyDescent="0.25">
      <c r="A6" s="4" t="s">
        <v>11</v>
      </c>
      <c r="B6" s="4" t="s">
        <v>37</v>
      </c>
      <c r="C6" s="4">
        <v>149</v>
      </c>
      <c r="D6" s="4">
        <v>12865</v>
      </c>
      <c r="E6" s="10">
        <v>2849</v>
      </c>
      <c r="F6" s="9">
        <f>E6/C6+1.1</f>
        <v>20.220805369127518</v>
      </c>
      <c r="G6" s="57">
        <f>E6/D6</f>
        <v>0.22145355616012438</v>
      </c>
      <c r="H6" s="99">
        <f>D6-E6</f>
        <v>10016</v>
      </c>
    </row>
    <row r="7" spans="1:8" ht="15.75" x14ac:dyDescent="0.25">
      <c r="A7" s="4" t="s">
        <v>16</v>
      </c>
      <c r="B7" s="4" t="s">
        <v>37</v>
      </c>
      <c r="C7" s="4">
        <v>153</v>
      </c>
      <c r="D7" s="4">
        <v>13487</v>
      </c>
      <c r="E7" s="10">
        <v>3696.0000000000005</v>
      </c>
      <c r="F7" s="9">
        <f>E7/C7+1.5</f>
        <v>25.656862745098042</v>
      </c>
      <c r="G7" s="57">
        <f>E7/D7</f>
        <v>0.27404166975606142</v>
      </c>
      <c r="H7" s="99">
        <f>D7-E7</f>
        <v>9791</v>
      </c>
    </row>
    <row r="8" spans="1:8" ht="15.75" x14ac:dyDescent="0.25">
      <c r="A8" s="4" t="s">
        <v>6</v>
      </c>
      <c r="B8" s="4" t="s">
        <v>37</v>
      </c>
      <c r="C8" s="4">
        <v>130</v>
      </c>
      <c r="D8" s="4">
        <v>11222</v>
      </c>
      <c r="E8" s="10">
        <v>2353.9999999999995</v>
      </c>
      <c r="F8" s="9">
        <f>E8/C8</f>
        <v>18.107692307692304</v>
      </c>
      <c r="G8" s="57">
        <f>E8/D8</f>
        <v>0.20976653003029758</v>
      </c>
      <c r="H8" s="99">
        <f>D8-E8</f>
        <v>8868</v>
      </c>
    </row>
    <row r="9" spans="1:8" ht="15.75" x14ac:dyDescent="0.25">
      <c r="A9" s="4" t="s">
        <v>15</v>
      </c>
      <c r="B9" s="4" t="s">
        <v>37</v>
      </c>
      <c r="C9" s="4">
        <v>134</v>
      </c>
      <c r="D9" s="4">
        <v>12028</v>
      </c>
      <c r="E9" s="10">
        <v>3435.5</v>
      </c>
      <c r="F9" s="9">
        <f>E9/C9+5.5</f>
        <v>31.138059701492537</v>
      </c>
      <c r="G9" s="57">
        <f>E9/D9</f>
        <v>0.28562520784835382</v>
      </c>
      <c r="H9" s="99">
        <f>D9-E9</f>
        <v>8592.5</v>
      </c>
    </row>
    <row r="10" spans="1:8" ht="15.75" x14ac:dyDescent="0.25">
      <c r="A10" s="4" t="s">
        <v>17</v>
      </c>
      <c r="B10" s="4" t="s">
        <v>37</v>
      </c>
      <c r="C10" s="4">
        <v>114</v>
      </c>
      <c r="D10" s="4">
        <v>9262</v>
      </c>
      <c r="E10" s="10">
        <v>2552</v>
      </c>
      <c r="F10" s="9">
        <f>E10/C10</f>
        <v>22.385964912280702</v>
      </c>
      <c r="G10" s="57">
        <f>E10/D10</f>
        <v>0.27553444180522563</v>
      </c>
      <c r="H10" s="99">
        <f>D10-E10</f>
        <v>6710</v>
      </c>
    </row>
    <row r="11" spans="1:8" ht="15.75" x14ac:dyDescent="0.25">
      <c r="A11" s="4" t="s">
        <v>22</v>
      </c>
      <c r="B11" s="4" t="s">
        <v>60</v>
      </c>
      <c r="C11" s="4">
        <v>100</v>
      </c>
      <c r="D11" s="4">
        <v>8755</v>
      </c>
      <c r="E11" s="10">
        <v>2797.25</v>
      </c>
      <c r="F11" s="9">
        <f>E11/C11+7</f>
        <v>34.972499999999997</v>
      </c>
      <c r="G11" s="57">
        <f>E11/D11</f>
        <v>0.31950314106225014</v>
      </c>
      <c r="H11" s="99">
        <f>D11-E11</f>
        <v>5957.75</v>
      </c>
    </row>
    <row r="12" spans="1:8" ht="15.75" x14ac:dyDescent="0.25">
      <c r="A12" s="4" t="s">
        <v>47</v>
      </c>
      <c r="B12" s="4" t="s">
        <v>60</v>
      </c>
      <c r="C12" s="4">
        <v>83</v>
      </c>
      <c r="D12" s="4">
        <v>7396</v>
      </c>
      <c r="E12" s="10">
        <v>2579.5</v>
      </c>
      <c r="F12" s="9">
        <f>E12/C12+5.6</f>
        <v>36.67831325301205</v>
      </c>
      <c r="G12" s="57">
        <f>E12/D12</f>
        <v>0.34876960519199568</v>
      </c>
      <c r="H12" s="99">
        <f>D12-E12</f>
        <v>4816.5</v>
      </c>
    </row>
    <row r="13" spans="1:8" ht="15.75" x14ac:dyDescent="0.25">
      <c r="A13" s="4" t="s">
        <v>74</v>
      </c>
      <c r="B13" s="4" t="s">
        <v>118</v>
      </c>
      <c r="C13" s="4">
        <v>75</v>
      </c>
      <c r="D13" s="4">
        <v>6375</v>
      </c>
      <c r="E13" s="10">
        <v>1680</v>
      </c>
      <c r="F13" s="9">
        <f>E13/C13+7.7</f>
        <v>30.099999999999998</v>
      </c>
      <c r="G13" s="57">
        <f>E13/D13</f>
        <v>0.2635294117647059</v>
      </c>
      <c r="H13" s="99">
        <f>D13-E13</f>
        <v>4695</v>
      </c>
    </row>
    <row r="14" spans="1:8" ht="15.75" x14ac:dyDescent="0.25">
      <c r="A14" s="4" t="s">
        <v>55</v>
      </c>
      <c r="B14" s="4" t="s">
        <v>60</v>
      </c>
      <c r="C14" s="4">
        <v>65</v>
      </c>
      <c r="D14" s="4">
        <v>5748</v>
      </c>
      <c r="E14" s="10">
        <v>1758.75</v>
      </c>
      <c r="F14" s="9">
        <f>E14/C14+5.3</f>
        <v>32.357692307692304</v>
      </c>
      <c r="G14" s="57">
        <f>E14/D14</f>
        <v>0.30597599164926931</v>
      </c>
      <c r="H14" s="99">
        <f>D14-E14</f>
        <v>3989.25</v>
      </c>
    </row>
    <row r="15" spans="1:8" ht="15.75" x14ac:dyDescent="0.25">
      <c r="A15" s="4" t="s">
        <v>41</v>
      </c>
      <c r="B15" s="4" t="s">
        <v>118</v>
      </c>
      <c r="C15" s="4">
        <v>36</v>
      </c>
      <c r="D15" s="4">
        <v>3082</v>
      </c>
      <c r="E15" s="10">
        <v>798</v>
      </c>
      <c r="F15" s="9">
        <f>E15/C15+5.8</f>
        <v>27.966666666666669</v>
      </c>
      <c r="G15" s="57">
        <f>E15/D15</f>
        <v>0.2589227774172615</v>
      </c>
      <c r="H15" s="99">
        <f>D15-E15</f>
        <v>2284</v>
      </c>
    </row>
    <row r="16" spans="1:8" ht="15.75" x14ac:dyDescent="0.25">
      <c r="A16" s="4" t="s">
        <v>52</v>
      </c>
      <c r="B16" s="4" t="s">
        <v>60</v>
      </c>
      <c r="C16" s="4">
        <v>38</v>
      </c>
      <c r="D16" s="4">
        <v>3400</v>
      </c>
      <c r="E16" s="10">
        <v>1423.7500000000002</v>
      </c>
      <c r="F16" s="9">
        <f>E16/C16+8.2</f>
        <v>45.667105263157893</v>
      </c>
      <c r="G16" s="57">
        <f>E16/D16</f>
        <v>0.41875000000000007</v>
      </c>
      <c r="H16" s="99">
        <f>D16-E16</f>
        <v>1976.2499999999998</v>
      </c>
    </row>
    <row r="17" spans="1:8" ht="15.75" x14ac:dyDescent="0.25">
      <c r="A17" s="4" t="s">
        <v>39</v>
      </c>
      <c r="B17" s="4" t="s">
        <v>60</v>
      </c>
      <c r="C17" s="4">
        <v>26</v>
      </c>
      <c r="D17" s="4">
        <v>2360</v>
      </c>
      <c r="E17" s="10">
        <v>820.75</v>
      </c>
      <c r="F17" s="9">
        <f>E17/C17+6.2</f>
        <v>37.767307692307696</v>
      </c>
      <c r="G17" s="57">
        <f>E17/D17</f>
        <v>0.34777542372881354</v>
      </c>
      <c r="H17" s="99">
        <f>D17-E17</f>
        <v>1539.25</v>
      </c>
    </row>
    <row r="18" spans="1:8" ht="15.75" x14ac:dyDescent="0.25">
      <c r="A18" s="4" t="s">
        <v>35</v>
      </c>
      <c r="B18" s="4" t="s">
        <v>37</v>
      </c>
      <c r="C18" s="4">
        <v>22</v>
      </c>
      <c r="D18" s="4">
        <v>2069</v>
      </c>
      <c r="E18" s="10">
        <v>546</v>
      </c>
      <c r="F18" s="9">
        <f>E18/C18+5.7</f>
        <v>30.518181818181816</v>
      </c>
      <c r="G18" s="57">
        <f>E18/D18</f>
        <v>0.26389560173997101</v>
      </c>
      <c r="H18" s="99">
        <f>D18-E18</f>
        <v>1523</v>
      </c>
    </row>
  </sheetData>
  <sortState xmlns:xlrd2="http://schemas.microsoft.com/office/spreadsheetml/2017/richdata2" ref="A2:H18">
    <sortCondition descending="1" ref="H1:H18"/>
  </sortState>
  <conditionalFormatting sqref="G2:G18">
    <cfRule type="cellIs" dxfId="14" priority="1" operator="greaterThan">
      <formula>0.3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7DA1-C006-44B7-A3B4-0FF28D06EFDC}">
  <dimension ref="A1:H28"/>
  <sheetViews>
    <sheetView zoomScale="124" zoomScaleNormal="124" workbookViewId="0">
      <pane ySplit="1" topLeftCell="A5" activePane="bottomLeft" state="frozen"/>
      <selection pane="bottomLeft" activeCell="A3" sqref="A3:XFD8"/>
    </sheetView>
  </sheetViews>
  <sheetFormatPr defaultRowHeight="15" x14ac:dyDescent="0.25"/>
  <cols>
    <col min="1" max="1" width="18.85546875" bestFit="1" customWidth="1"/>
    <col min="2" max="2" width="16.14062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  <col min="7" max="7" width="10.140625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1" t="s">
        <v>5</v>
      </c>
      <c r="G1" s="61" t="s">
        <v>126</v>
      </c>
      <c r="H1" s="103" t="s">
        <v>159</v>
      </c>
    </row>
    <row r="2" spans="1:8" ht="18.75" x14ac:dyDescent="0.3">
      <c r="A2" s="23" t="s">
        <v>129</v>
      </c>
      <c r="B2" s="23" t="s">
        <v>138</v>
      </c>
      <c r="C2" s="23">
        <v>5562</v>
      </c>
      <c r="D2" s="23">
        <v>336474</v>
      </c>
      <c r="E2" s="23">
        <v>89482</v>
      </c>
      <c r="F2" s="64">
        <v>19.788097806544407</v>
      </c>
      <c r="G2" s="60">
        <v>0.26594031039545402</v>
      </c>
      <c r="H2" s="96">
        <f>D2-E2</f>
        <v>246992</v>
      </c>
    </row>
    <row r="3" spans="1:8" ht="15.75" x14ac:dyDescent="0.25">
      <c r="A3" s="3" t="s">
        <v>44</v>
      </c>
      <c r="B3" s="3" t="s">
        <v>86</v>
      </c>
      <c r="C3" s="3">
        <v>433</v>
      </c>
      <c r="D3" s="3">
        <v>29751</v>
      </c>
      <c r="E3" s="3">
        <v>4250</v>
      </c>
      <c r="F3" s="62">
        <f>E3/C3+3</f>
        <v>12.815242494226329</v>
      </c>
      <c r="G3" s="8">
        <f>E3/D3</f>
        <v>0.14285234109777822</v>
      </c>
      <c r="H3" s="96">
        <f>D3-E3</f>
        <v>25501</v>
      </c>
    </row>
    <row r="4" spans="1:8" ht="15.75" x14ac:dyDescent="0.25">
      <c r="A4" s="3" t="s">
        <v>11</v>
      </c>
      <c r="B4" s="3" t="s">
        <v>14</v>
      </c>
      <c r="C4" s="3">
        <v>436</v>
      </c>
      <c r="D4" s="3">
        <v>29525</v>
      </c>
      <c r="E4" s="3">
        <v>6657</v>
      </c>
      <c r="F4" s="62">
        <f>E4/C4+1.1</f>
        <v>16.368348623853212</v>
      </c>
      <c r="G4" s="8">
        <f>E4/D4</f>
        <v>0.22546994072819646</v>
      </c>
      <c r="H4" s="96">
        <f>D4-E4</f>
        <v>22868</v>
      </c>
    </row>
    <row r="5" spans="1:8" ht="15.75" x14ac:dyDescent="0.25">
      <c r="A5" s="3" t="s">
        <v>16</v>
      </c>
      <c r="B5" s="3" t="s">
        <v>14</v>
      </c>
      <c r="C5" s="3">
        <v>392</v>
      </c>
      <c r="D5" s="3">
        <v>26660</v>
      </c>
      <c r="E5" s="3">
        <v>5723</v>
      </c>
      <c r="F5" s="62">
        <f>E5/C5+1.5</f>
        <v>16.099489795918366</v>
      </c>
      <c r="G5" s="8">
        <f>E5/D5</f>
        <v>0.21466616654163542</v>
      </c>
      <c r="H5" s="96">
        <f>D5-E5</f>
        <v>20937</v>
      </c>
    </row>
    <row r="6" spans="1:8" ht="15.75" x14ac:dyDescent="0.25">
      <c r="A6" s="3" t="s">
        <v>24</v>
      </c>
      <c r="B6" s="3" t="s">
        <v>14</v>
      </c>
      <c r="C6" s="3">
        <v>410</v>
      </c>
      <c r="D6" s="3">
        <v>27155</v>
      </c>
      <c r="E6" s="3">
        <v>6605</v>
      </c>
      <c r="F6" s="62">
        <f>E6/C6+2</f>
        <v>18.109756097560975</v>
      </c>
      <c r="G6" s="8">
        <f>E6/D6</f>
        <v>0.24323329037009758</v>
      </c>
      <c r="H6" s="96">
        <f>D6-E6</f>
        <v>20550</v>
      </c>
    </row>
    <row r="7" spans="1:8" ht="15.75" x14ac:dyDescent="0.25">
      <c r="A7" s="3" t="s">
        <v>43</v>
      </c>
      <c r="B7" s="3" t="s">
        <v>14</v>
      </c>
      <c r="C7" s="3">
        <v>387</v>
      </c>
      <c r="D7" s="3">
        <v>25242</v>
      </c>
      <c r="E7" s="3">
        <v>5565</v>
      </c>
      <c r="F7" s="62">
        <f>E7/C7+6.7</f>
        <v>21.079844961240312</v>
      </c>
      <c r="G7" s="8">
        <f>E7/D7</f>
        <v>0.22046589018302828</v>
      </c>
      <c r="H7" s="96">
        <f>D7-E7</f>
        <v>19677</v>
      </c>
    </row>
    <row r="8" spans="1:8" ht="15.75" x14ac:dyDescent="0.25">
      <c r="A8" s="3" t="s">
        <v>15</v>
      </c>
      <c r="B8" s="3" t="s">
        <v>14</v>
      </c>
      <c r="C8" s="3">
        <v>349</v>
      </c>
      <c r="D8" s="3">
        <v>23765</v>
      </c>
      <c r="E8" s="3">
        <v>4190</v>
      </c>
      <c r="F8" s="62">
        <f>E8/C8+5.5</f>
        <v>17.505730659025787</v>
      </c>
      <c r="G8" s="8">
        <f>E8/D8</f>
        <v>0.17630969913738692</v>
      </c>
      <c r="H8" s="96">
        <f>D8-E8</f>
        <v>19575</v>
      </c>
    </row>
    <row r="9" spans="1:8" ht="15.75" x14ac:dyDescent="0.25">
      <c r="A9" s="3" t="s">
        <v>9</v>
      </c>
      <c r="B9" s="3" t="s">
        <v>86</v>
      </c>
      <c r="C9" s="3">
        <v>250</v>
      </c>
      <c r="D9" s="3">
        <v>16927</v>
      </c>
      <c r="E9" s="3">
        <v>3069</v>
      </c>
      <c r="F9" s="62">
        <f>E9/C9+5.7</f>
        <v>17.975999999999999</v>
      </c>
      <c r="G9" s="8">
        <f>E9/D9</f>
        <v>0.18130796951615763</v>
      </c>
      <c r="H9" s="96">
        <f>D9-E9</f>
        <v>13858</v>
      </c>
    </row>
    <row r="10" spans="1:8" ht="15.75" x14ac:dyDescent="0.25">
      <c r="A10" s="3" t="s">
        <v>59</v>
      </c>
      <c r="B10" s="3" t="s">
        <v>45</v>
      </c>
      <c r="C10" s="3">
        <v>258</v>
      </c>
      <c r="D10" s="3">
        <v>17680</v>
      </c>
      <c r="E10" s="3">
        <v>4429</v>
      </c>
      <c r="F10" s="62">
        <f>E10/C10+5.1</f>
        <v>22.266666666666666</v>
      </c>
      <c r="G10" s="8">
        <f>E10/D10</f>
        <v>0.25050904977375565</v>
      </c>
      <c r="H10" s="96">
        <f>D10-E10</f>
        <v>13251</v>
      </c>
    </row>
    <row r="11" spans="1:8" ht="15.75" x14ac:dyDescent="0.25">
      <c r="A11" s="3" t="s">
        <v>22</v>
      </c>
      <c r="B11" s="3" t="s">
        <v>45</v>
      </c>
      <c r="C11" s="3">
        <v>233</v>
      </c>
      <c r="D11" s="3">
        <v>15171</v>
      </c>
      <c r="E11" s="3">
        <v>4138</v>
      </c>
      <c r="F11" s="62">
        <f>E11/C11+7</f>
        <v>24.759656652360515</v>
      </c>
      <c r="G11" s="8">
        <f>E11/D11</f>
        <v>0.27275723419682291</v>
      </c>
      <c r="H11" s="96">
        <f>D11-E11</f>
        <v>11033</v>
      </c>
    </row>
    <row r="12" spans="1:8" ht="15.75" x14ac:dyDescent="0.25">
      <c r="A12" s="4" t="s">
        <v>7</v>
      </c>
      <c r="B12" s="4" t="s">
        <v>109</v>
      </c>
      <c r="C12" s="4">
        <v>206</v>
      </c>
      <c r="D12" s="4">
        <v>13501</v>
      </c>
      <c r="E12" s="4">
        <v>3723</v>
      </c>
      <c r="F12" s="63">
        <f>18.1+3.8</f>
        <v>21.900000000000002</v>
      </c>
      <c r="G12" s="8">
        <f>E12/D12</f>
        <v>0.27575735130731055</v>
      </c>
      <c r="H12" s="96">
        <f>D12-E12</f>
        <v>9778</v>
      </c>
    </row>
    <row r="13" spans="1:8" ht="15.75" x14ac:dyDescent="0.25">
      <c r="A13" s="4" t="s">
        <v>17</v>
      </c>
      <c r="B13" s="4" t="s">
        <v>14</v>
      </c>
      <c r="C13" s="4">
        <v>190</v>
      </c>
      <c r="D13" s="4">
        <v>12188</v>
      </c>
      <c r="E13" s="4">
        <v>3591</v>
      </c>
      <c r="F13" s="62">
        <f>E13/C13+2.3</f>
        <v>21.2</v>
      </c>
      <c r="G13" s="8">
        <f>E13/D13</f>
        <v>0.29463406629471611</v>
      </c>
      <c r="H13" s="96">
        <f>D13-E13</f>
        <v>8597</v>
      </c>
    </row>
    <row r="14" spans="1:8" ht="15.75" x14ac:dyDescent="0.25">
      <c r="A14" s="4" t="s">
        <v>35</v>
      </c>
      <c r="B14" s="4" t="s">
        <v>14</v>
      </c>
      <c r="C14" s="4">
        <v>161</v>
      </c>
      <c r="D14" s="4">
        <v>11020</v>
      </c>
      <c r="E14" s="4">
        <v>2478</v>
      </c>
      <c r="F14" s="62">
        <f>E14/C14+9.1</f>
        <v>24.491304347826087</v>
      </c>
      <c r="G14" s="8">
        <f>E14/D14</f>
        <v>0.22486388384754991</v>
      </c>
      <c r="H14" s="96">
        <f>D14-E14</f>
        <v>8542</v>
      </c>
    </row>
    <row r="15" spans="1:8" ht="15.75" x14ac:dyDescent="0.25">
      <c r="A15" s="4" t="s">
        <v>47</v>
      </c>
      <c r="B15" s="4" t="s">
        <v>45</v>
      </c>
      <c r="C15" s="4">
        <v>143</v>
      </c>
      <c r="D15" s="4">
        <v>9752</v>
      </c>
      <c r="E15" s="4">
        <v>2190</v>
      </c>
      <c r="F15" s="62">
        <f>E15/C15+5.6</f>
        <v>20.914685314685315</v>
      </c>
      <c r="G15" s="8">
        <f>E15/D15</f>
        <v>0.22456931911402789</v>
      </c>
      <c r="H15" s="96">
        <f>D15-E15</f>
        <v>7562</v>
      </c>
    </row>
    <row r="16" spans="1:8" ht="15.75" x14ac:dyDescent="0.25">
      <c r="A16" s="4" t="s">
        <v>55</v>
      </c>
      <c r="B16" s="4" t="s">
        <v>45</v>
      </c>
      <c r="C16" s="4">
        <v>141</v>
      </c>
      <c r="D16" s="4">
        <v>9277</v>
      </c>
      <c r="E16" s="4">
        <v>2311</v>
      </c>
      <c r="F16" s="62">
        <f>E16/C16+5.3</f>
        <v>21.690070921985818</v>
      </c>
      <c r="G16" s="8">
        <f>E16/D16</f>
        <v>0.24911070389134418</v>
      </c>
      <c r="H16" s="96">
        <f>D16-E16</f>
        <v>6966</v>
      </c>
    </row>
    <row r="17" spans="1:8" ht="15.75" x14ac:dyDescent="0.25">
      <c r="A17" s="4" t="s">
        <v>39</v>
      </c>
      <c r="B17" s="4" t="s">
        <v>45</v>
      </c>
      <c r="C17" s="4">
        <v>119</v>
      </c>
      <c r="D17" s="4">
        <v>8196</v>
      </c>
      <c r="E17" s="4">
        <v>1997</v>
      </c>
      <c r="F17" s="62">
        <f>E17/C17+6.2</f>
        <v>22.981512605042017</v>
      </c>
      <c r="G17" s="8">
        <f>E17/D17</f>
        <v>0.24365544167886774</v>
      </c>
      <c r="H17" s="96">
        <f>D17-E17</f>
        <v>6199</v>
      </c>
    </row>
    <row r="18" spans="1:8" ht="15.75" x14ac:dyDescent="0.25">
      <c r="A18" s="4" t="s">
        <v>20</v>
      </c>
      <c r="B18" s="4" t="s">
        <v>86</v>
      </c>
      <c r="C18" s="4">
        <v>119</v>
      </c>
      <c r="D18" s="4">
        <v>7752</v>
      </c>
      <c r="E18" s="4">
        <v>2040</v>
      </c>
      <c r="F18" s="62">
        <f>E18/C18+5.4</f>
        <v>22.542857142857144</v>
      </c>
      <c r="G18" s="8">
        <f>E18/D18</f>
        <v>0.26315789473684209</v>
      </c>
      <c r="H18" s="96">
        <f>D18-E18</f>
        <v>5712</v>
      </c>
    </row>
    <row r="19" spans="1:8" ht="15.75" x14ac:dyDescent="0.25">
      <c r="A19" s="3" t="s">
        <v>13</v>
      </c>
      <c r="B19" s="3" t="s">
        <v>14</v>
      </c>
      <c r="C19" s="3">
        <v>711</v>
      </c>
      <c r="D19" s="3">
        <v>12090</v>
      </c>
      <c r="E19" s="3">
        <v>7655</v>
      </c>
      <c r="F19" s="62">
        <f>E19/C19+2.4</f>
        <v>13.166526019690577</v>
      </c>
      <c r="G19" s="8">
        <f>E19/D19</f>
        <v>0.63316790736145578</v>
      </c>
      <c r="H19" s="96">
        <f>D19-E19</f>
        <v>4435</v>
      </c>
    </row>
    <row r="20" spans="1:8" ht="15.75" x14ac:dyDescent="0.25">
      <c r="A20" s="4" t="s">
        <v>74</v>
      </c>
      <c r="B20" s="4" t="s">
        <v>86</v>
      </c>
      <c r="C20" s="4">
        <v>121</v>
      </c>
      <c r="D20" s="4">
        <v>8161</v>
      </c>
      <c r="E20" s="4">
        <v>3774</v>
      </c>
      <c r="F20" s="62">
        <f>E20/C20+7.7</f>
        <v>38.890082644628102</v>
      </c>
      <c r="G20" s="8">
        <f>E20/D20</f>
        <v>0.4624433280235265</v>
      </c>
      <c r="H20" s="96">
        <f>D20-E20</f>
        <v>4387</v>
      </c>
    </row>
    <row r="21" spans="1:8" ht="15.75" x14ac:dyDescent="0.25">
      <c r="A21" s="4" t="s">
        <v>41</v>
      </c>
      <c r="B21" s="4" t="s">
        <v>86</v>
      </c>
      <c r="C21" s="4">
        <v>79</v>
      </c>
      <c r="D21" s="4">
        <v>5304</v>
      </c>
      <c r="E21" s="4">
        <v>1037</v>
      </c>
      <c r="F21" s="62">
        <f>E21/C21+5.8</f>
        <v>18.926582278481014</v>
      </c>
      <c r="G21" s="8">
        <f>E21/D21</f>
        <v>0.19551282051282051</v>
      </c>
      <c r="H21" s="96">
        <f>D21-E21</f>
        <v>4267</v>
      </c>
    </row>
    <row r="22" spans="1:8" ht="15.75" x14ac:dyDescent="0.25">
      <c r="A22" s="4" t="s">
        <v>52</v>
      </c>
      <c r="B22" s="4" t="s">
        <v>45</v>
      </c>
      <c r="C22" s="4">
        <v>89</v>
      </c>
      <c r="D22" s="4">
        <v>5779</v>
      </c>
      <c r="E22" s="4">
        <v>1924</v>
      </c>
      <c r="F22" s="62">
        <f>E22/C22+8.2</f>
        <v>29.817977528089887</v>
      </c>
      <c r="G22" s="8">
        <f>E22/D22</f>
        <v>0.33292957259041356</v>
      </c>
      <c r="H22" s="96">
        <f>D22-E22</f>
        <v>3855</v>
      </c>
    </row>
    <row r="23" spans="1:8" ht="15.75" x14ac:dyDescent="0.25">
      <c r="A23" s="3" t="s">
        <v>19</v>
      </c>
      <c r="B23" s="3" t="s">
        <v>45</v>
      </c>
      <c r="C23" s="3">
        <v>69</v>
      </c>
      <c r="D23" s="3">
        <v>4405</v>
      </c>
      <c r="E23" s="3">
        <v>1367</v>
      </c>
      <c r="F23" s="62">
        <f>E23/C23+8.4</f>
        <v>28.211594202898553</v>
      </c>
      <c r="G23" s="8">
        <f>E23/D23</f>
        <v>0.31032917139614075</v>
      </c>
      <c r="H23" s="96">
        <f>D23-E23</f>
        <v>3038</v>
      </c>
    </row>
    <row r="24" spans="1:8" ht="15.75" x14ac:dyDescent="0.25">
      <c r="A24" s="4" t="s">
        <v>12</v>
      </c>
      <c r="B24" s="4" t="s">
        <v>14</v>
      </c>
      <c r="C24" s="4">
        <v>115</v>
      </c>
      <c r="D24" s="4">
        <v>7412</v>
      </c>
      <c r="E24" s="4">
        <v>5219</v>
      </c>
      <c r="F24" s="62">
        <f>E24/C24+2.7</f>
        <v>48.082608695652176</v>
      </c>
      <c r="G24" s="8">
        <f>E24/D24</f>
        <v>0.70412844036697253</v>
      </c>
      <c r="H24" s="96">
        <f>D24-E24</f>
        <v>2193</v>
      </c>
    </row>
    <row r="25" spans="1:8" ht="15.75" x14ac:dyDescent="0.25">
      <c r="A25" s="4" t="s">
        <v>8</v>
      </c>
      <c r="B25" s="4" t="s">
        <v>62</v>
      </c>
      <c r="C25" s="4">
        <v>70</v>
      </c>
      <c r="D25" s="4">
        <v>4851</v>
      </c>
      <c r="E25" s="4">
        <v>2829</v>
      </c>
      <c r="F25" s="63">
        <v>40.4</v>
      </c>
      <c r="G25" s="8">
        <f>E25/D25</f>
        <v>0.58317872603586884</v>
      </c>
      <c r="H25" s="96">
        <f>D25-E25</f>
        <v>2022</v>
      </c>
    </row>
    <row r="26" spans="1:8" ht="15.75" x14ac:dyDescent="0.25">
      <c r="A26" s="3" t="s">
        <v>18</v>
      </c>
      <c r="B26" s="3" t="s">
        <v>86</v>
      </c>
      <c r="C26" s="3">
        <v>47</v>
      </c>
      <c r="D26" s="3">
        <v>2915</v>
      </c>
      <c r="E26" s="3">
        <v>893</v>
      </c>
      <c r="F26" s="62">
        <f>E26/C26+4.8</f>
        <v>23.8</v>
      </c>
      <c r="G26" s="8">
        <f>E26/D26</f>
        <v>0.30634648370497425</v>
      </c>
      <c r="H26" s="96">
        <f>D26-E26</f>
        <v>2022</v>
      </c>
    </row>
    <row r="27" spans="1:8" ht="15.75" x14ac:dyDescent="0.25">
      <c r="A27" s="3" t="s">
        <v>42</v>
      </c>
      <c r="B27" s="3" t="s">
        <v>86</v>
      </c>
      <c r="C27" s="3">
        <v>17</v>
      </c>
      <c r="D27" s="3">
        <v>957</v>
      </c>
      <c r="E27" s="3">
        <v>782</v>
      </c>
      <c r="F27" s="62">
        <f>E27/C27+5.1</f>
        <v>51.1</v>
      </c>
      <c r="G27" s="8">
        <f>E27/D27</f>
        <v>0.81713688610240331</v>
      </c>
      <c r="H27" s="96">
        <f>D27-E27</f>
        <v>175</v>
      </c>
    </row>
    <row r="28" spans="1:8" ht="15.75" x14ac:dyDescent="0.25">
      <c r="A28" s="3" t="s">
        <v>40</v>
      </c>
      <c r="B28" s="3" t="s">
        <v>86</v>
      </c>
      <c r="C28" s="3">
        <v>17</v>
      </c>
      <c r="D28" s="3">
        <v>1038</v>
      </c>
      <c r="E28" s="3">
        <v>1046</v>
      </c>
      <c r="F28" s="62">
        <f>E28/C28+8.3</f>
        <v>69.829411764705881</v>
      </c>
      <c r="G28" s="8">
        <f>E28/D28</f>
        <v>1.0077071290944124</v>
      </c>
      <c r="H28" s="96">
        <f>D28-E28</f>
        <v>-8</v>
      </c>
    </row>
  </sheetData>
  <sortState xmlns:xlrd2="http://schemas.microsoft.com/office/spreadsheetml/2017/richdata2" ref="A2:H28">
    <sortCondition descending="1" ref="H1:H28"/>
  </sortState>
  <conditionalFormatting sqref="G11:G28">
    <cfRule type="cellIs" dxfId="13" priority="1" operator="greaterThan">
      <formula>0.3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F322-0D4C-4885-9EA2-54B9BEC56F2E}">
  <dimension ref="A1:H21"/>
  <sheetViews>
    <sheetView zoomScale="112" zoomScaleNormal="112" workbookViewId="0">
      <pane ySplit="1" topLeftCell="A2" activePane="bottomLeft" state="frozen"/>
      <selection pane="bottomLeft" activeCell="H3" sqref="H3:H6"/>
    </sheetView>
  </sheetViews>
  <sheetFormatPr defaultRowHeight="15" x14ac:dyDescent="0.25"/>
  <cols>
    <col min="1" max="1" width="18.85546875" bestFit="1" customWidth="1"/>
    <col min="2" max="2" width="17.570312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5.75" x14ac:dyDescent="0.25">
      <c r="A2" s="39" t="s">
        <v>129</v>
      </c>
      <c r="B2" s="39" t="s">
        <v>139</v>
      </c>
      <c r="C2" s="39">
        <v>2937</v>
      </c>
      <c r="D2" s="39">
        <v>154781</v>
      </c>
      <c r="E2" s="39">
        <v>42838</v>
      </c>
      <c r="F2" s="36">
        <v>18.285631596867553</v>
      </c>
      <c r="G2" s="49">
        <v>0.27676523604318359</v>
      </c>
      <c r="H2" s="96">
        <f>D2-E2</f>
        <v>111943</v>
      </c>
    </row>
    <row r="3" spans="1:8" ht="15.75" x14ac:dyDescent="0.25">
      <c r="A3" s="3" t="s">
        <v>12</v>
      </c>
      <c r="B3" s="3" t="s">
        <v>99</v>
      </c>
      <c r="C3" s="3">
        <v>314</v>
      </c>
      <c r="D3" s="3">
        <v>17462</v>
      </c>
      <c r="E3" s="3">
        <v>4788</v>
      </c>
      <c r="F3" s="9">
        <f>E3/C3+2.7</f>
        <v>17.948407643312102</v>
      </c>
      <c r="G3" s="57">
        <f>E3/D3</f>
        <v>0.27419539571641277</v>
      </c>
      <c r="H3" s="96">
        <f>D3-E3</f>
        <v>12674</v>
      </c>
    </row>
    <row r="4" spans="1:8" ht="15.75" x14ac:dyDescent="0.25">
      <c r="A4" s="3" t="s">
        <v>17</v>
      </c>
      <c r="B4" s="3" t="s">
        <v>99</v>
      </c>
      <c r="C4" s="3">
        <v>284</v>
      </c>
      <c r="D4" s="3">
        <v>14132</v>
      </c>
      <c r="E4" s="3">
        <v>3140</v>
      </c>
      <c r="F4" s="9">
        <f>E4/C4+2.3</f>
        <v>13.356338028169013</v>
      </c>
      <c r="G4" s="57">
        <f>E4/D4</f>
        <v>0.22219077271440701</v>
      </c>
      <c r="H4" s="96">
        <f>D4-E4</f>
        <v>10992</v>
      </c>
    </row>
    <row r="5" spans="1:8" ht="15.75" x14ac:dyDescent="0.25">
      <c r="A5" s="3" t="s">
        <v>13</v>
      </c>
      <c r="B5" s="3" t="s">
        <v>99</v>
      </c>
      <c r="C5" s="3">
        <v>290</v>
      </c>
      <c r="D5" s="3">
        <v>15050</v>
      </c>
      <c r="E5" s="3">
        <v>5061</v>
      </c>
      <c r="F5" s="9">
        <f>E5/C5+2.4</f>
        <v>19.851724137931033</v>
      </c>
      <c r="G5" s="57">
        <f>E5/D5</f>
        <v>0.33627906976744187</v>
      </c>
      <c r="H5" s="96">
        <f>D5-E5</f>
        <v>9989</v>
      </c>
    </row>
    <row r="6" spans="1:8" ht="15.75" x14ac:dyDescent="0.25">
      <c r="A6" s="3" t="s">
        <v>15</v>
      </c>
      <c r="B6" s="3" t="s">
        <v>99</v>
      </c>
      <c r="C6" s="3">
        <v>234</v>
      </c>
      <c r="D6" s="3">
        <v>12934</v>
      </c>
      <c r="E6" s="3">
        <v>2951</v>
      </c>
      <c r="F6" s="9">
        <f>E6/C6+5.5</f>
        <v>18.111111111111111</v>
      </c>
      <c r="G6" s="57">
        <f>E6/D6</f>
        <v>0.22815834235348692</v>
      </c>
      <c r="H6" s="96">
        <f>D6-E6</f>
        <v>9983</v>
      </c>
    </row>
    <row r="7" spans="1:8" ht="15.75" x14ac:dyDescent="0.25">
      <c r="A7" s="3" t="s">
        <v>24</v>
      </c>
      <c r="B7" s="3" t="s">
        <v>99</v>
      </c>
      <c r="C7" s="3">
        <v>224</v>
      </c>
      <c r="D7" s="3">
        <v>12400</v>
      </c>
      <c r="E7" s="3">
        <v>3329</v>
      </c>
      <c r="F7" s="9">
        <f>E7/C7+2</f>
        <v>16.861607142857142</v>
      </c>
      <c r="G7" s="57">
        <f>E7/D7</f>
        <v>0.26846774193548389</v>
      </c>
      <c r="H7" s="96">
        <f>D7-E7</f>
        <v>9071</v>
      </c>
    </row>
    <row r="8" spans="1:8" ht="15.75" x14ac:dyDescent="0.25">
      <c r="A8" s="4" t="s">
        <v>44</v>
      </c>
      <c r="B8" s="4" t="s">
        <v>89</v>
      </c>
      <c r="C8" s="4">
        <v>213</v>
      </c>
      <c r="D8" s="4">
        <v>11109</v>
      </c>
      <c r="E8" s="4">
        <v>2550</v>
      </c>
      <c r="F8" s="9">
        <f>E8/C8+3</f>
        <v>14.971830985915492</v>
      </c>
      <c r="G8" s="57">
        <f>E8/D8</f>
        <v>0.22954361328652445</v>
      </c>
      <c r="H8" s="96">
        <f>D8-E8</f>
        <v>8559</v>
      </c>
    </row>
    <row r="9" spans="1:8" ht="15.75" x14ac:dyDescent="0.25">
      <c r="A9" s="4" t="s">
        <v>59</v>
      </c>
      <c r="B9" s="4" t="s">
        <v>92</v>
      </c>
      <c r="C9" s="4">
        <v>206</v>
      </c>
      <c r="D9" s="4">
        <v>11487</v>
      </c>
      <c r="E9" s="4">
        <v>3600</v>
      </c>
      <c r="F9" s="9">
        <f>E9/C9+5.1</f>
        <v>22.575728155339803</v>
      </c>
      <c r="G9" s="57">
        <f>E9/D9</f>
        <v>0.31339775398276315</v>
      </c>
      <c r="H9" s="96">
        <f>D9-E9</f>
        <v>7887</v>
      </c>
    </row>
    <row r="10" spans="1:8" ht="15.75" x14ac:dyDescent="0.25">
      <c r="A10" s="3" t="s">
        <v>8</v>
      </c>
      <c r="B10" s="3" t="s">
        <v>68</v>
      </c>
      <c r="C10" s="3">
        <v>219</v>
      </c>
      <c r="D10" s="3">
        <v>8735</v>
      </c>
      <c r="E10" s="3">
        <v>2004</v>
      </c>
      <c r="F10" s="9">
        <f>E10/C10</f>
        <v>9.1506849315068486</v>
      </c>
      <c r="G10" s="57">
        <f>E10/D10</f>
        <v>0.22942186605609616</v>
      </c>
      <c r="H10" s="96">
        <f>D10-E10</f>
        <v>6731</v>
      </c>
    </row>
    <row r="11" spans="1:8" ht="15.75" x14ac:dyDescent="0.25">
      <c r="A11" s="3" t="s">
        <v>11</v>
      </c>
      <c r="B11" s="3" t="s">
        <v>99</v>
      </c>
      <c r="C11" s="3">
        <v>144</v>
      </c>
      <c r="D11" s="3">
        <v>8057</v>
      </c>
      <c r="E11" s="3">
        <v>1838</v>
      </c>
      <c r="F11" s="9">
        <f>E11/C11+1.1</f>
        <v>13.863888888888889</v>
      </c>
      <c r="G11" s="57">
        <f>E11/D11</f>
        <v>0.22812461213851309</v>
      </c>
      <c r="H11" s="96">
        <f>D11-E11</f>
        <v>6219</v>
      </c>
    </row>
    <row r="12" spans="1:8" ht="15.75" x14ac:dyDescent="0.25">
      <c r="A12" s="4" t="s">
        <v>47</v>
      </c>
      <c r="B12" s="4" t="s">
        <v>92</v>
      </c>
      <c r="C12" s="4">
        <v>156</v>
      </c>
      <c r="D12" s="4">
        <v>8475</v>
      </c>
      <c r="E12" s="4">
        <v>2506</v>
      </c>
      <c r="F12" s="9">
        <f>E12/C12+5.6</f>
        <v>21.664102564102564</v>
      </c>
      <c r="G12" s="57">
        <f>E12/D12</f>
        <v>0.29569321533923304</v>
      </c>
      <c r="H12" s="96">
        <f>D12-E12</f>
        <v>5969</v>
      </c>
    </row>
    <row r="13" spans="1:8" ht="15.75" x14ac:dyDescent="0.25">
      <c r="A13" s="3" t="s">
        <v>43</v>
      </c>
      <c r="B13" s="3" t="s">
        <v>99</v>
      </c>
      <c r="C13" s="3">
        <v>134</v>
      </c>
      <c r="D13" s="3">
        <v>6798</v>
      </c>
      <c r="E13" s="3">
        <v>1260</v>
      </c>
      <c r="F13" s="9">
        <f>E13/C13+6.7</f>
        <v>16.102985074626865</v>
      </c>
      <c r="G13" s="57">
        <f>E13/D13</f>
        <v>0.18534863195057369</v>
      </c>
      <c r="H13" s="96">
        <f>D13-E13</f>
        <v>5538</v>
      </c>
    </row>
    <row r="14" spans="1:8" ht="15.75" x14ac:dyDescent="0.25">
      <c r="A14" s="4" t="s">
        <v>22</v>
      </c>
      <c r="B14" s="4" t="s">
        <v>92</v>
      </c>
      <c r="C14" s="4">
        <v>113</v>
      </c>
      <c r="D14" s="4">
        <v>5836</v>
      </c>
      <c r="E14" s="4">
        <v>2246</v>
      </c>
      <c r="F14" s="9">
        <f>E14/C14+7</f>
        <v>26.876106194690266</v>
      </c>
      <c r="G14" s="57">
        <f>E14/D14</f>
        <v>0.3848526387936943</v>
      </c>
      <c r="H14" s="96">
        <f>D14-E14</f>
        <v>3590</v>
      </c>
    </row>
    <row r="15" spans="1:8" ht="15.75" x14ac:dyDescent="0.25">
      <c r="A15" s="3" t="s">
        <v>16</v>
      </c>
      <c r="B15" s="3" t="s">
        <v>99</v>
      </c>
      <c r="C15" s="3">
        <v>83</v>
      </c>
      <c r="D15" s="3">
        <v>4528</v>
      </c>
      <c r="E15" s="3">
        <v>1187</v>
      </c>
      <c r="F15" s="9">
        <f>E15/C15+1.5</f>
        <v>15.801204819277109</v>
      </c>
      <c r="G15" s="57">
        <f>E15/D15</f>
        <v>0.26214664310954061</v>
      </c>
      <c r="H15" s="96">
        <f>D15-E15</f>
        <v>3341</v>
      </c>
    </row>
    <row r="16" spans="1:8" ht="15.75" x14ac:dyDescent="0.25">
      <c r="A16" s="4" t="s">
        <v>74</v>
      </c>
      <c r="B16" s="4" t="s">
        <v>89</v>
      </c>
      <c r="C16" s="4">
        <v>90</v>
      </c>
      <c r="D16" s="4">
        <v>4779</v>
      </c>
      <c r="E16" s="4">
        <v>1948</v>
      </c>
      <c r="F16" s="9">
        <f>E16/C16+7.7</f>
        <v>29.344444444444445</v>
      </c>
      <c r="G16" s="57">
        <f>E16/D16</f>
        <v>0.40761665620422682</v>
      </c>
      <c r="H16" s="96">
        <f>D16-E16</f>
        <v>2831</v>
      </c>
    </row>
    <row r="17" spans="1:8" ht="15.75" x14ac:dyDescent="0.25">
      <c r="A17" s="4" t="s">
        <v>41</v>
      </c>
      <c r="B17" s="4" t="s">
        <v>89</v>
      </c>
      <c r="C17" s="4">
        <v>64</v>
      </c>
      <c r="D17" s="4">
        <v>3578</v>
      </c>
      <c r="E17" s="4">
        <v>1110</v>
      </c>
      <c r="F17" s="9">
        <f>E17/C17+5.8</f>
        <v>23.143750000000001</v>
      </c>
      <c r="G17" s="57">
        <f>E17/D17</f>
        <v>0.31022917831190611</v>
      </c>
      <c r="H17" s="96">
        <f>D17-E17</f>
        <v>2468</v>
      </c>
    </row>
    <row r="18" spans="1:8" ht="15.75" x14ac:dyDescent="0.25">
      <c r="A18" s="4" t="s">
        <v>52</v>
      </c>
      <c r="B18" s="4" t="s">
        <v>92</v>
      </c>
      <c r="C18" s="4">
        <v>56</v>
      </c>
      <c r="D18" s="4">
        <v>3162</v>
      </c>
      <c r="E18" s="4">
        <v>1138</v>
      </c>
      <c r="F18" s="9">
        <f>E18/C18+8.2</f>
        <v>28.521428571428572</v>
      </c>
      <c r="G18" s="57">
        <f>E18/D18</f>
        <v>0.35989879822896903</v>
      </c>
      <c r="H18" s="96">
        <f>D18-E18</f>
        <v>2024</v>
      </c>
    </row>
    <row r="19" spans="1:8" ht="15.75" x14ac:dyDescent="0.25">
      <c r="A19" s="11" t="s">
        <v>39</v>
      </c>
      <c r="B19" s="11" t="s">
        <v>92</v>
      </c>
      <c r="C19" s="11">
        <v>42</v>
      </c>
      <c r="D19" s="11">
        <v>2272</v>
      </c>
      <c r="E19" s="11">
        <v>734</v>
      </c>
      <c r="F19" s="9">
        <f>E19/C19+6.2</f>
        <v>23.676190476190474</v>
      </c>
      <c r="G19" s="57">
        <f>E19/D19</f>
        <v>0.32306338028169013</v>
      </c>
      <c r="H19" s="96">
        <f>D19-E19</f>
        <v>1538</v>
      </c>
    </row>
    <row r="20" spans="1:8" ht="15.75" x14ac:dyDescent="0.25">
      <c r="A20" s="4" t="s">
        <v>55</v>
      </c>
      <c r="B20" s="4" t="s">
        <v>92</v>
      </c>
      <c r="C20" s="4">
        <v>37</v>
      </c>
      <c r="D20" s="4">
        <v>2084</v>
      </c>
      <c r="E20" s="4">
        <v>648</v>
      </c>
      <c r="F20" s="9">
        <f>E20/C20+5.3</f>
        <v>22.813513513513513</v>
      </c>
      <c r="G20" s="57">
        <f>E20/D20</f>
        <v>0.31094049904030713</v>
      </c>
      <c r="H20" s="96">
        <f>D20-E20</f>
        <v>1436</v>
      </c>
    </row>
    <row r="21" spans="1:8" ht="15.75" x14ac:dyDescent="0.25">
      <c r="A21" s="4" t="s">
        <v>9</v>
      </c>
      <c r="B21" s="4" t="s">
        <v>89</v>
      </c>
      <c r="C21" s="4">
        <v>34</v>
      </c>
      <c r="D21" s="4">
        <v>1903</v>
      </c>
      <c r="E21" s="4">
        <v>800</v>
      </c>
      <c r="F21" s="9">
        <f>E21/C21+5.7</f>
        <v>29.229411764705883</v>
      </c>
      <c r="G21" s="57">
        <f>E21/D21</f>
        <v>0.42038885969521805</v>
      </c>
      <c r="H21" s="96">
        <f>D21-E21</f>
        <v>1103</v>
      </c>
    </row>
  </sheetData>
  <sortState xmlns:xlrd2="http://schemas.microsoft.com/office/spreadsheetml/2017/richdata2" ref="A2:H21">
    <sortCondition descending="1" ref="H1:H21"/>
  </sortState>
  <conditionalFormatting sqref="G2:G21">
    <cfRule type="cellIs" dxfId="12" priority="1" operator="greaterThan">
      <formula>0.3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CC20-281C-4E4C-A447-AE55B5BDAED8}">
  <dimension ref="A1:H27"/>
  <sheetViews>
    <sheetView zoomScale="95" zoomScaleNormal="95" workbookViewId="0">
      <pane ySplit="1" topLeftCell="A2" activePane="bottomLeft" state="frozen"/>
      <selection pane="bottomLeft" activeCell="J15" sqref="J15"/>
    </sheetView>
  </sheetViews>
  <sheetFormatPr defaultRowHeight="15" x14ac:dyDescent="0.25"/>
  <cols>
    <col min="1" max="1" width="18.85546875" bestFit="1" customWidth="1"/>
    <col min="2" max="2" width="13.14062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8.75" x14ac:dyDescent="0.3">
      <c r="A2" s="28" t="s">
        <v>129</v>
      </c>
      <c r="B2" s="28" t="s">
        <v>140</v>
      </c>
      <c r="C2" s="28">
        <v>2972</v>
      </c>
      <c r="D2" s="28">
        <v>164469</v>
      </c>
      <c r="E2" s="59">
        <v>56898.338990000004</v>
      </c>
      <c r="F2" s="29">
        <v>22.844797775908479</v>
      </c>
      <c r="G2" s="50">
        <v>0.34595175376514725</v>
      </c>
      <c r="H2" s="99">
        <f>D2-E2</f>
        <v>107570.66101</v>
      </c>
    </row>
    <row r="3" spans="1:8" ht="15.75" x14ac:dyDescent="0.25">
      <c r="A3" s="4" t="s">
        <v>17</v>
      </c>
      <c r="B3" s="4" t="s">
        <v>36</v>
      </c>
      <c r="C3" s="4">
        <v>297</v>
      </c>
      <c r="D3" s="4">
        <v>15779</v>
      </c>
      <c r="E3" s="10">
        <v>4000.4999999999995</v>
      </c>
      <c r="F3" s="9">
        <f>E3/C3+2.3</f>
        <v>15.76969696969697</v>
      </c>
      <c r="G3" s="57">
        <f>E3/D3</f>
        <v>0.2535331770074149</v>
      </c>
      <c r="H3" s="99">
        <f>D3-E3</f>
        <v>11778.5</v>
      </c>
    </row>
    <row r="4" spans="1:8" ht="15.75" x14ac:dyDescent="0.25">
      <c r="A4" s="4" t="s">
        <v>24</v>
      </c>
      <c r="B4" s="4" t="s">
        <v>36</v>
      </c>
      <c r="C4" s="4">
        <v>305</v>
      </c>
      <c r="D4" s="4">
        <v>16523</v>
      </c>
      <c r="E4" s="10">
        <v>5964.0000000000009</v>
      </c>
      <c r="F4" s="9">
        <f>E4/C4+2</f>
        <v>21.55409836065574</v>
      </c>
      <c r="G4" s="57">
        <f>E4/D4</f>
        <v>0.36095140107728624</v>
      </c>
      <c r="H4" s="99">
        <f>D4-E4</f>
        <v>10559</v>
      </c>
    </row>
    <row r="5" spans="1:8" ht="15.75" x14ac:dyDescent="0.25">
      <c r="A5" s="4" t="s">
        <v>7</v>
      </c>
      <c r="B5" s="4" t="s">
        <v>110</v>
      </c>
      <c r="C5" s="4">
        <v>205</v>
      </c>
      <c r="D5" s="4">
        <v>11760</v>
      </c>
      <c r="E5" s="10">
        <v>2318.6999999999998</v>
      </c>
      <c r="F5" s="9">
        <f>11.3107317073171+3.8</f>
        <v>15.1107317073171</v>
      </c>
      <c r="G5" s="57">
        <f>E5/D5</f>
        <v>0.19716836734693877</v>
      </c>
      <c r="H5" s="99">
        <f>D5-E5</f>
        <v>9441.2999999999993</v>
      </c>
    </row>
    <row r="6" spans="1:8" ht="15.75" x14ac:dyDescent="0.25">
      <c r="A6" s="4" t="s">
        <v>11</v>
      </c>
      <c r="B6" s="4" t="s">
        <v>36</v>
      </c>
      <c r="C6" s="4">
        <v>195</v>
      </c>
      <c r="D6" s="4">
        <v>10904</v>
      </c>
      <c r="E6" s="10">
        <v>1858.5</v>
      </c>
      <c r="F6" s="9">
        <f>E6/C6+1.1</f>
        <v>10.63076923076923</v>
      </c>
      <c r="G6" s="57">
        <f>E6/D6</f>
        <v>0.17044203961848864</v>
      </c>
      <c r="H6" s="99">
        <f>D6-E6</f>
        <v>9045.5</v>
      </c>
    </row>
    <row r="7" spans="1:8" ht="15.75" x14ac:dyDescent="0.25">
      <c r="A7" s="4" t="s">
        <v>6</v>
      </c>
      <c r="B7" s="4" t="s">
        <v>36</v>
      </c>
      <c r="C7" s="4">
        <v>270</v>
      </c>
      <c r="D7" s="4">
        <v>14684</v>
      </c>
      <c r="E7" s="10">
        <v>6426</v>
      </c>
      <c r="F7" s="9">
        <f>E7/C7+2.5</f>
        <v>26.3</v>
      </c>
      <c r="G7" s="57">
        <f>E7/D7</f>
        <v>0.4376191773358758</v>
      </c>
      <c r="H7" s="99">
        <f>D7-E7</f>
        <v>8258</v>
      </c>
    </row>
    <row r="8" spans="1:8" ht="15.75" x14ac:dyDescent="0.25">
      <c r="A8" s="4" t="s">
        <v>13</v>
      </c>
      <c r="B8" s="4" t="s">
        <v>36</v>
      </c>
      <c r="C8" s="4">
        <v>222</v>
      </c>
      <c r="D8" s="4">
        <v>12441</v>
      </c>
      <c r="E8" s="10">
        <v>4725</v>
      </c>
      <c r="F8" s="9">
        <f>E8/C8+2.4</f>
        <v>23.683783783783781</v>
      </c>
      <c r="G8" s="57">
        <f>E8/D8</f>
        <v>0.37979262117193152</v>
      </c>
      <c r="H8" s="99">
        <f>D8-E8</f>
        <v>7716</v>
      </c>
    </row>
    <row r="9" spans="1:8" ht="15.75" x14ac:dyDescent="0.25">
      <c r="A9" s="4" t="s">
        <v>59</v>
      </c>
      <c r="B9" s="4" t="s">
        <v>51</v>
      </c>
      <c r="C9" s="4">
        <v>195</v>
      </c>
      <c r="D9" s="4">
        <v>11116</v>
      </c>
      <c r="E9" s="10">
        <v>3496.9000000000005</v>
      </c>
      <c r="F9" s="9">
        <f>E9/C9</f>
        <v>17.932820512820516</v>
      </c>
      <c r="G9" s="57">
        <f>E9/D9</f>
        <v>0.31458258366318825</v>
      </c>
      <c r="H9" s="99">
        <f>D9-E9</f>
        <v>7619.0999999999995</v>
      </c>
    </row>
    <row r="10" spans="1:8" ht="15.75" x14ac:dyDescent="0.25">
      <c r="A10" s="4" t="s">
        <v>44</v>
      </c>
      <c r="B10" s="4" t="s">
        <v>87</v>
      </c>
      <c r="C10" s="4">
        <v>167</v>
      </c>
      <c r="D10" s="4">
        <v>9682</v>
      </c>
      <c r="E10" s="10">
        <v>2286.5</v>
      </c>
      <c r="F10" s="9">
        <f>E10/C10+3</f>
        <v>16.691616766467064</v>
      </c>
      <c r="G10" s="57">
        <f>E10/D10</f>
        <v>0.23615988432142118</v>
      </c>
      <c r="H10" s="99">
        <f>D10-E10</f>
        <v>7395.5</v>
      </c>
    </row>
    <row r="11" spans="1:8" ht="15.75" x14ac:dyDescent="0.25">
      <c r="A11" s="4" t="s">
        <v>16</v>
      </c>
      <c r="B11" s="4" t="s">
        <v>36</v>
      </c>
      <c r="C11" s="4">
        <v>178</v>
      </c>
      <c r="D11" s="4">
        <v>9997</v>
      </c>
      <c r="E11" s="10">
        <v>3748.5</v>
      </c>
      <c r="F11" s="9">
        <f>E11/C11+1.5</f>
        <v>22.558988764044944</v>
      </c>
      <c r="G11" s="57">
        <f>E11/D11</f>
        <v>0.37496248874662397</v>
      </c>
      <c r="H11" s="99">
        <f>D11-E11</f>
        <v>6248.5</v>
      </c>
    </row>
    <row r="12" spans="1:8" ht="15.75" x14ac:dyDescent="0.25">
      <c r="A12" s="4" t="s">
        <v>15</v>
      </c>
      <c r="B12" s="4" t="s">
        <v>36</v>
      </c>
      <c r="C12" s="4">
        <v>145</v>
      </c>
      <c r="D12" s="4">
        <v>8057</v>
      </c>
      <c r="E12" s="10">
        <v>2709</v>
      </c>
      <c r="F12" s="9">
        <f>E12/C12+5.5</f>
        <v>24.182758620689654</v>
      </c>
      <c r="G12" s="57">
        <f>E12/D12</f>
        <v>0.33622936576889662</v>
      </c>
      <c r="H12" s="99">
        <f>D12-E12</f>
        <v>5348</v>
      </c>
    </row>
    <row r="13" spans="1:8" ht="15.75" x14ac:dyDescent="0.25">
      <c r="A13" s="4" t="s">
        <v>22</v>
      </c>
      <c r="B13" s="4" t="s">
        <v>51</v>
      </c>
      <c r="C13" s="4">
        <v>134</v>
      </c>
      <c r="D13" s="4">
        <v>7345</v>
      </c>
      <c r="E13" s="10">
        <v>2262.7000000000003</v>
      </c>
      <c r="F13" s="9">
        <f>E13/C13</f>
        <v>16.885820895522389</v>
      </c>
      <c r="G13" s="57">
        <f>E13/D13</f>
        <v>0.30805990469707289</v>
      </c>
      <c r="H13" s="99">
        <f>D13-E13</f>
        <v>5082.2999999999993</v>
      </c>
    </row>
    <row r="14" spans="1:8" ht="15.75" x14ac:dyDescent="0.25">
      <c r="A14" s="4" t="s">
        <v>9</v>
      </c>
      <c r="B14" s="4" t="s">
        <v>87</v>
      </c>
      <c r="C14" s="4">
        <v>93</v>
      </c>
      <c r="D14" s="4">
        <v>5063</v>
      </c>
      <c r="E14" s="10">
        <v>1538.5</v>
      </c>
      <c r="F14" s="9">
        <f>E14/C14+5.7</f>
        <v>22.243010752688171</v>
      </c>
      <c r="G14" s="57">
        <f>E14/D14</f>
        <v>0.30387122259529925</v>
      </c>
      <c r="H14" s="99">
        <f>D14-E14</f>
        <v>3524.5</v>
      </c>
    </row>
    <row r="15" spans="1:8" ht="15.75" x14ac:dyDescent="0.25">
      <c r="A15" s="4" t="s">
        <v>47</v>
      </c>
      <c r="B15" s="4" t="s">
        <v>51</v>
      </c>
      <c r="C15" s="4">
        <v>77</v>
      </c>
      <c r="D15" s="4">
        <v>4323</v>
      </c>
      <c r="E15" s="10">
        <v>1839.2</v>
      </c>
      <c r="F15" s="9">
        <f>E15/C15</f>
        <v>23.885714285714286</v>
      </c>
      <c r="G15" s="57">
        <f>E15/D15</f>
        <v>0.42544529262086517</v>
      </c>
      <c r="H15" s="99">
        <f>D15-E15</f>
        <v>2483.8000000000002</v>
      </c>
    </row>
    <row r="16" spans="1:8" ht="15.75" x14ac:dyDescent="0.25">
      <c r="A16" s="4" t="s">
        <v>55</v>
      </c>
      <c r="B16" s="4" t="s">
        <v>51</v>
      </c>
      <c r="C16" s="4">
        <v>64</v>
      </c>
      <c r="D16" s="4">
        <v>3571</v>
      </c>
      <c r="E16" s="10">
        <v>1294.6999999999998</v>
      </c>
      <c r="F16" s="9">
        <f>E16/C16</f>
        <v>20.229687499999997</v>
      </c>
      <c r="G16" s="57">
        <f>E16/D16</f>
        <v>0.36255950714085683</v>
      </c>
      <c r="H16" s="99">
        <f>D16-E16</f>
        <v>2276.3000000000002</v>
      </c>
    </row>
    <row r="17" spans="1:8" ht="15.75" x14ac:dyDescent="0.25">
      <c r="A17" s="4" t="s">
        <v>20</v>
      </c>
      <c r="B17" s="4" t="s">
        <v>87</v>
      </c>
      <c r="C17" s="4">
        <v>47</v>
      </c>
      <c r="D17" s="4">
        <v>2593</v>
      </c>
      <c r="E17" s="10">
        <v>866.99999999999977</v>
      </c>
      <c r="F17" s="9">
        <f>E17/C17+5.4</f>
        <v>23.84680851063829</v>
      </c>
      <c r="G17" s="57">
        <f>E17/D17</f>
        <v>0.33436174315464706</v>
      </c>
      <c r="H17" s="99">
        <f>D17-E17</f>
        <v>1726.0000000000002</v>
      </c>
    </row>
    <row r="18" spans="1:8" ht="15.75" x14ac:dyDescent="0.25">
      <c r="A18" s="4" t="s">
        <v>39</v>
      </c>
      <c r="B18" s="4" t="s">
        <v>51</v>
      </c>
      <c r="C18" s="4">
        <v>46</v>
      </c>
      <c r="D18" s="4">
        <v>2517</v>
      </c>
      <c r="E18" s="10">
        <v>883.3000000000003</v>
      </c>
      <c r="F18" s="9">
        <f>E18/C18</f>
        <v>19.202173913043485</v>
      </c>
      <c r="G18" s="57">
        <f>E18/D18</f>
        <v>0.35093365117203029</v>
      </c>
      <c r="H18" s="99">
        <f>D18-E18</f>
        <v>1633.6999999999998</v>
      </c>
    </row>
    <row r="19" spans="1:8" ht="15.75" x14ac:dyDescent="0.25">
      <c r="A19" s="4" t="s">
        <v>54</v>
      </c>
      <c r="B19" s="4" t="s">
        <v>87</v>
      </c>
      <c r="C19" s="4">
        <v>52</v>
      </c>
      <c r="D19" s="4">
        <v>2792</v>
      </c>
      <c r="E19" s="10">
        <v>1258</v>
      </c>
      <c r="F19" s="9">
        <f>E19/C19+3.5</f>
        <v>27.692307692307693</v>
      </c>
      <c r="G19" s="57">
        <f>E19/D19</f>
        <v>0.45057306590257878</v>
      </c>
      <c r="H19" s="99">
        <f>D19-E19</f>
        <v>1534</v>
      </c>
    </row>
    <row r="20" spans="1:8" ht="15.75" x14ac:dyDescent="0.25">
      <c r="A20" s="4" t="s">
        <v>41</v>
      </c>
      <c r="B20" s="4" t="s">
        <v>87</v>
      </c>
      <c r="C20" s="4">
        <v>37</v>
      </c>
      <c r="D20" s="4">
        <v>1980</v>
      </c>
      <c r="E20" s="10">
        <v>629</v>
      </c>
      <c r="F20" s="9">
        <f>E20/C20+5.8</f>
        <v>22.8</v>
      </c>
      <c r="G20" s="57">
        <f>E20/D20</f>
        <v>0.31767676767676767</v>
      </c>
      <c r="H20" s="99">
        <f>D20-E20</f>
        <v>1351</v>
      </c>
    </row>
    <row r="21" spans="1:8" ht="15.75" x14ac:dyDescent="0.25">
      <c r="A21" s="4" t="s">
        <v>8</v>
      </c>
      <c r="B21" s="4" t="s">
        <v>65</v>
      </c>
      <c r="C21" s="4">
        <v>53</v>
      </c>
      <c r="D21" s="4">
        <v>2974</v>
      </c>
      <c r="E21" s="10">
        <v>1785.7389899999998</v>
      </c>
      <c r="F21" s="9">
        <v>33.693188490566037</v>
      </c>
      <c r="G21" s="57">
        <f>E21/D21</f>
        <v>0.60045023201075987</v>
      </c>
      <c r="H21" s="99">
        <f>D21-E21</f>
        <v>1188.2610100000002</v>
      </c>
    </row>
    <row r="22" spans="1:8" ht="15.75" x14ac:dyDescent="0.25">
      <c r="A22" s="4" t="s">
        <v>19</v>
      </c>
      <c r="B22" s="4" t="s">
        <v>51</v>
      </c>
      <c r="C22" s="4">
        <v>28</v>
      </c>
      <c r="D22" s="4">
        <v>1482</v>
      </c>
      <c r="E22" s="10">
        <v>459.80000000000013</v>
      </c>
      <c r="F22" s="9">
        <f>E22/C22</f>
        <v>16.421428571428574</v>
      </c>
      <c r="G22" s="57">
        <f>E22/D22</f>
        <v>0.31025641025641032</v>
      </c>
      <c r="H22" s="99">
        <f>D22-E22</f>
        <v>1022.1999999999998</v>
      </c>
    </row>
    <row r="23" spans="1:8" ht="15.75" x14ac:dyDescent="0.25">
      <c r="A23" s="4" t="s">
        <v>12</v>
      </c>
      <c r="B23" s="4" t="s">
        <v>36</v>
      </c>
      <c r="C23" s="4">
        <v>70</v>
      </c>
      <c r="D23" s="4">
        <v>3949</v>
      </c>
      <c r="E23" s="10">
        <v>2982</v>
      </c>
      <c r="F23" s="9">
        <f>E23/C23+2.7</f>
        <v>45.300000000000004</v>
      </c>
      <c r="G23" s="57">
        <f>E23/D23</f>
        <v>0.75512788047606993</v>
      </c>
      <c r="H23" s="99">
        <f>D23-E23</f>
        <v>967</v>
      </c>
    </row>
    <row r="24" spans="1:8" ht="15.75" x14ac:dyDescent="0.25">
      <c r="A24" s="4" t="s">
        <v>35</v>
      </c>
      <c r="B24" s="4" t="s">
        <v>36</v>
      </c>
      <c r="C24" s="4">
        <v>40</v>
      </c>
      <c r="D24" s="4">
        <v>2211</v>
      </c>
      <c r="E24" s="10">
        <v>1511.9999999999998</v>
      </c>
      <c r="F24" s="9">
        <f>E24/C24+9.1</f>
        <v>46.9</v>
      </c>
      <c r="G24" s="57">
        <f>E24/D24</f>
        <v>0.68385345997286284</v>
      </c>
      <c r="H24" s="99">
        <f>D24-E24</f>
        <v>699.00000000000023</v>
      </c>
    </row>
    <row r="25" spans="1:8" ht="15.75" x14ac:dyDescent="0.25">
      <c r="A25" s="4" t="s">
        <v>52</v>
      </c>
      <c r="B25" s="4" t="s">
        <v>51</v>
      </c>
      <c r="C25" s="4">
        <v>36</v>
      </c>
      <c r="D25" s="4">
        <v>1883</v>
      </c>
      <c r="E25" s="10">
        <v>1185.8000000000002</v>
      </c>
      <c r="F25" s="9">
        <f>E25/C25</f>
        <v>32.938888888888897</v>
      </c>
      <c r="G25" s="57">
        <f>E25/D25</f>
        <v>0.62973977695167294</v>
      </c>
      <c r="H25" s="99">
        <f>D25-E25</f>
        <v>697.19999999999982</v>
      </c>
    </row>
    <row r="26" spans="1:8" ht="15.75" x14ac:dyDescent="0.25">
      <c r="A26" s="4" t="s">
        <v>74</v>
      </c>
      <c r="B26" s="4" t="s">
        <v>87</v>
      </c>
      <c r="C26" s="4">
        <v>10</v>
      </c>
      <c r="D26" s="4">
        <v>567</v>
      </c>
      <c r="E26" s="10">
        <v>442</v>
      </c>
      <c r="F26" s="9">
        <f>E26/C26+7.7</f>
        <v>51.900000000000006</v>
      </c>
      <c r="G26" s="57">
        <f>E26/D26</f>
        <v>0.77954144620811283</v>
      </c>
      <c r="H26" s="99">
        <f>D26-E26</f>
        <v>125</v>
      </c>
    </row>
    <row r="27" spans="1:8" ht="15.75" x14ac:dyDescent="0.25">
      <c r="A27" s="4" t="s">
        <v>42</v>
      </c>
      <c r="B27" s="4" t="s">
        <v>87</v>
      </c>
      <c r="C27" s="4">
        <v>6</v>
      </c>
      <c r="D27" s="4">
        <v>276</v>
      </c>
      <c r="E27" s="10">
        <v>425</v>
      </c>
      <c r="F27" s="9">
        <f>E27/C27+5.1</f>
        <v>75.933333333333323</v>
      </c>
      <c r="G27" s="57">
        <f>E27/D27</f>
        <v>1.5398550724637681</v>
      </c>
      <c r="H27" s="99">
        <f>D27-E27</f>
        <v>-149</v>
      </c>
    </row>
  </sheetData>
  <sortState xmlns:xlrd2="http://schemas.microsoft.com/office/spreadsheetml/2017/richdata2" ref="A2:H27">
    <sortCondition descending="1" ref="H1:H27"/>
  </sortState>
  <conditionalFormatting sqref="G2:G13 G15:G27">
    <cfRule type="cellIs" dxfId="11" priority="1" operator="greaterThan">
      <formula>0.3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79A0-F5B7-429B-97C4-5C874AB83375}">
  <dimension ref="A1:H27"/>
  <sheetViews>
    <sheetView zoomScale="112" zoomScaleNormal="112" workbookViewId="0">
      <pane ySplit="1" topLeftCell="A2" activePane="bottomLeft" state="frozen"/>
      <selection pane="bottomLeft" activeCell="I15" sqref="I15"/>
    </sheetView>
  </sheetViews>
  <sheetFormatPr defaultRowHeight="15" x14ac:dyDescent="0.25"/>
  <cols>
    <col min="1" max="1" width="18.85546875" bestFit="1" customWidth="1"/>
    <col min="2" max="2" width="14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61" t="s">
        <v>4</v>
      </c>
      <c r="F1" s="104" t="s">
        <v>5</v>
      </c>
      <c r="G1" s="104" t="s">
        <v>126</v>
      </c>
      <c r="H1" s="98" t="s">
        <v>159</v>
      </c>
    </row>
    <row r="2" spans="1:8" ht="15.75" x14ac:dyDescent="0.25">
      <c r="A2" s="39" t="s">
        <v>129</v>
      </c>
      <c r="B2" s="39" t="s">
        <v>141</v>
      </c>
      <c r="C2" s="39">
        <v>2505</v>
      </c>
      <c r="D2" s="39">
        <v>132912</v>
      </c>
      <c r="E2" s="66">
        <v>42909.775189999993</v>
      </c>
      <c r="F2" s="36">
        <v>20.829650774451093</v>
      </c>
      <c r="G2" s="49">
        <v>0.3228434993830504</v>
      </c>
      <c r="H2" s="99">
        <f>D2-E2</f>
        <v>90002.224810000014</v>
      </c>
    </row>
    <row r="3" spans="1:8" ht="15.75" x14ac:dyDescent="0.25">
      <c r="A3" s="4" t="s">
        <v>7</v>
      </c>
      <c r="B3" s="4" t="s">
        <v>101</v>
      </c>
      <c r="C3" s="4">
        <v>211</v>
      </c>
      <c r="D3" s="4">
        <v>11295</v>
      </c>
      <c r="E3" s="65">
        <v>1268.3</v>
      </c>
      <c r="F3" s="9">
        <f>6.01090047393365+3.8</f>
        <v>9.8109004739336498</v>
      </c>
      <c r="G3" s="8">
        <f>E3/D3</f>
        <v>0.11228862328463922</v>
      </c>
      <c r="H3" s="99">
        <f>D3-E3</f>
        <v>10026.700000000001</v>
      </c>
    </row>
    <row r="4" spans="1:8" ht="15.75" x14ac:dyDescent="0.25">
      <c r="A4" s="4" t="s">
        <v>13</v>
      </c>
      <c r="B4" s="4" t="s">
        <v>33</v>
      </c>
      <c r="C4" s="4">
        <v>253</v>
      </c>
      <c r="D4" s="4">
        <v>13480</v>
      </c>
      <c r="E4" s="65">
        <v>4047.8999999999996</v>
      </c>
      <c r="F4" s="9">
        <f>15.999604743083+2.4</f>
        <v>18.399604743083</v>
      </c>
      <c r="G4" s="8">
        <f>E4/D4</f>
        <v>0.30028931750741839</v>
      </c>
      <c r="H4" s="99">
        <f>D4-E4</f>
        <v>9432.1</v>
      </c>
    </row>
    <row r="5" spans="1:8" ht="15.75" x14ac:dyDescent="0.25">
      <c r="A5" s="4" t="s">
        <v>24</v>
      </c>
      <c r="B5" s="4" t="s">
        <v>33</v>
      </c>
      <c r="C5" s="4">
        <v>260</v>
      </c>
      <c r="D5" s="4">
        <v>13119</v>
      </c>
      <c r="E5" s="65">
        <v>4933.7000000000007</v>
      </c>
      <c r="F5" s="9">
        <f>18.9757692307692+2</f>
        <v>20.975769230769199</v>
      </c>
      <c r="G5" s="8">
        <f>E5/D5</f>
        <v>0.37607287140788176</v>
      </c>
      <c r="H5" s="99">
        <f>D5-E5</f>
        <v>8185.2999999999993</v>
      </c>
    </row>
    <row r="6" spans="1:8" ht="15.75" x14ac:dyDescent="0.25">
      <c r="A6" s="4" t="s">
        <v>11</v>
      </c>
      <c r="B6" s="4" t="s">
        <v>33</v>
      </c>
      <c r="C6" s="4">
        <v>187</v>
      </c>
      <c r="D6" s="4">
        <v>10245</v>
      </c>
      <c r="E6" s="65">
        <v>3306.3</v>
      </c>
      <c r="F6" s="9">
        <f>17.6807486631016+1.1</f>
        <v>18.780748663101601</v>
      </c>
      <c r="G6" s="8">
        <f>E6/D6</f>
        <v>0.32272327964860908</v>
      </c>
      <c r="H6" s="99">
        <f>D6-E6</f>
        <v>6938.7</v>
      </c>
    </row>
    <row r="7" spans="1:8" ht="15.75" x14ac:dyDescent="0.25">
      <c r="A7" s="4" t="s">
        <v>6</v>
      </c>
      <c r="B7" s="4" t="s">
        <v>33</v>
      </c>
      <c r="C7" s="4">
        <v>164</v>
      </c>
      <c r="D7" s="4">
        <v>8769</v>
      </c>
      <c r="E7" s="65">
        <v>3203.2999999999997</v>
      </c>
      <c r="F7" s="9">
        <f>19.5323170731707+2.5</f>
        <v>22.032317073170699</v>
      </c>
      <c r="G7" s="8">
        <f>E7/D7</f>
        <v>0.36529820960200704</v>
      </c>
      <c r="H7" s="99">
        <f>D7-E7</f>
        <v>5565.7000000000007</v>
      </c>
    </row>
    <row r="8" spans="1:8" ht="15.75" x14ac:dyDescent="0.25">
      <c r="A8" s="4" t="s">
        <v>15</v>
      </c>
      <c r="B8" s="4" t="s">
        <v>33</v>
      </c>
      <c r="C8" s="4">
        <v>144</v>
      </c>
      <c r="D8" s="4">
        <v>8002</v>
      </c>
      <c r="E8" s="65">
        <v>2647.1000000000004</v>
      </c>
      <c r="F8" s="9">
        <f>18.3826388888889+5.5</f>
        <v>23.882638888888899</v>
      </c>
      <c r="G8" s="8">
        <f>E8/D8</f>
        <v>0.33080479880029995</v>
      </c>
      <c r="H8" s="99">
        <f>D8-E8</f>
        <v>5354.9</v>
      </c>
    </row>
    <row r="9" spans="1:8" ht="15.75" x14ac:dyDescent="0.25">
      <c r="A9" s="4" t="s">
        <v>16</v>
      </c>
      <c r="B9" s="4" t="s">
        <v>33</v>
      </c>
      <c r="C9" s="4">
        <v>174</v>
      </c>
      <c r="D9" s="4">
        <v>9479</v>
      </c>
      <c r="E9" s="65">
        <v>4150.9000000000005</v>
      </c>
      <c r="F9" s="9">
        <f>23.8557471264368+1.5</f>
        <v>25.3557471264368</v>
      </c>
      <c r="G9" s="8">
        <f>E9/D9</f>
        <v>0.4379048422829413</v>
      </c>
      <c r="H9" s="99">
        <f>D9-E9</f>
        <v>5328.0999999999995</v>
      </c>
    </row>
    <row r="10" spans="1:8" ht="15.75" x14ac:dyDescent="0.25">
      <c r="A10" s="4" t="s">
        <v>44</v>
      </c>
      <c r="B10" s="4" t="s">
        <v>102</v>
      </c>
      <c r="C10" s="4">
        <v>101</v>
      </c>
      <c r="D10" s="4">
        <v>5536</v>
      </c>
      <c r="E10" s="65">
        <v>1126.9999999999975</v>
      </c>
      <c r="F10" s="9">
        <f>11.1584158415841+3</f>
        <v>14.1584158415841</v>
      </c>
      <c r="G10" s="8">
        <f>E10/D10</f>
        <v>0.20357658959537528</v>
      </c>
      <c r="H10" s="99">
        <f>D10-E10</f>
        <v>4409.0000000000027</v>
      </c>
    </row>
    <row r="11" spans="1:8" ht="15.75" x14ac:dyDescent="0.25">
      <c r="A11" s="4" t="s">
        <v>17</v>
      </c>
      <c r="B11" s="4" t="s">
        <v>33</v>
      </c>
      <c r="C11" s="4">
        <v>145</v>
      </c>
      <c r="D11" s="4">
        <v>7073</v>
      </c>
      <c r="E11" s="65">
        <v>2832.5</v>
      </c>
      <c r="F11" s="9">
        <f>19.5344827586207+2.3</f>
        <v>21.834482758620702</v>
      </c>
      <c r="G11" s="8">
        <f>E11/D11</f>
        <v>0.40046656298600308</v>
      </c>
      <c r="H11" s="99">
        <f>D11-E11</f>
        <v>4240.5</v>
      </c>
    </row>
    <row r="12" spans="1:8" ht="15.75" x14ac:dyDescent="0.25">
      <c r="A12" s="4" t="s">
        <v>59</v>
      </c>
      <c r="B12" s="4" t="s">
        <v>48</v>
      </c>
      <c r="C12" s="4">
        <v>107</v>
      </c>
      <c r="D12" s="4">
        <v>5632</v>
      </c>
      <c r="E12" s="65">
        <v>1773.7999999999997</v>
      </c>
      <c r="F12" s="9">
        <f>16.5775700934579+5.1</f>
        <v>21.677570093457902</v>
      </c>
      <c r="G12" s="8">
        <f>E12/D12</f>
        <v>0.31495028409090903</v>
      </c>
      <c r="H12" s="99">
        <f>D12-E12</f>
        <v>3858.2000000000003</v>
      </c>
    </row>
    <row r="13" spans="1:8" ht="15.75" x14ac:dyDescent="0.25">
      <c r="A13" s="4" t="s">
        <v>9</v>
      </c>
      <c r="B13" s="4" t="s">
        <v>102</v>
      </c>
      <c r="C13" s="4">
        <v>80</v>
      </c>
      <c r="D13" s="4">
        <v>4216</v>
      </c>
      <c r="E13" s="65">
        <v>1029</v>
      </c>
      <c r="F13" s="9">
        <f>12.8625+5.7</f>
        <v>18.5625</v>
      </c>
      <c r="G13" s="8">
        <f>E13/D13</f>
        <v>0.24407020872865276</v>
      </c>
      <c r="H13" s="99">
        <f>D13-E13</f>
        <v>3187</v>
      </c>
    </row>
    <row r="14" spans="1:8" ht="15.75" x14ac:dyDescent="0.25">
      <c r="A14" s="4" t="s">
        <v>55</v>
      </c>
      <c r="B14" s="4" t="s">
        <v>48</v>
      </c>
      <c r="C14" s="4">
        <v>85</v>
      </c>
      <c r="D14" s="4">
        <v>4431</v>
      </c>
      <c r="E14" s="65">
        <v>1489.6</v>
      </c>
      <c r="F14" s="9">
        <f>17.5247058823529+5.3</f>
        <v>22.824705882352902</v>
      </c>
      <c r="G14" s="8">
        <f>E14/D14</f>
        <v>0.33617693522906789</v>
      </c>
      <c r="H14" s="99">
        <f>D14-E14</f>
        <v>2941.4</v>
      </c>
    </row>
    <row r="15" spans="1:8" ht="15.75" x14ac:dyDescent="0.25">
      <c r="A15" s="4" t="s">
        <v>12</v>
      </c>
      <c r="B15" s="4" t="s">
        <v>33</v>
      </c>
      <c r="C15" s="4">
        <v>77</v>
      </c>
      <c r="D15" s="4">
        <v>4201</v>
      </c>
      <c r="E15" s="65">
        <v>1627.4</v>
      </c>
      <c r="F15" s="9">
        <f>21.1350649350649+2.7</f>
        <v>23.835064935064899</v>
      </c>
      <c r="G15" s="8">
        <f>E15/D15</f>
        <v>0.38738395620090454</v>
      </c>
      <c r="H15" s="99">
        <f>D15-E15</f>
        <v>2573.6</v>
      </c>
    </row>
    <row r="16" spans="1:8" ht="15.75" x14ac:dyDescent="0.25">
      <c r="A16" s="4" t="s">
        <v>47</v>
      </c>
      <c r="B16" s="4" t="s">
        <v>48</v>
      </c>
      <c r="C16" s="4">
        <v>74</v>
      </c>
      <c r="D16" s="4">
        <v>4108</v>
      </c>
      <c r="E16" s="65">
        <v>1548.4</v>
      </c>
      <c r="F16" s="9">
        <f>20.9243243243243+5.6</f>
        <v>26.524324324324297</v>
      </c>
      <c r="G16" s="8">
        <f>E16/D16</f>
        <v>0.37692307692307697</v>
      </c>
      <c r="H16" s="99">
        <f>D16-E16</f>
        <v>2559.6</v>
      </c>
    </row>
    <row r="17" spans="1:8" ht="15.75" x14ac:dyDescent="0.25">
      <c r="A17" s="4" t="s">
        <v>31</v>
      </c>
      <c r="B17" s="4" t="s">
        <v>33</v>
      </c>
      <c r="C17" s="4">
        <v>72</v>
      </c>
      <c r="D17" s="4">
        <v>3708</v>
      </c>
      <c r="E17" s="65">
        <v>1266.9000000000001</v>
      </c>
      <c r="F17" s="9">
        <f>17.5958333333333+4.2</f>
        <v>21.795833333333299</v>
      </c>
      <c r="G17" s="8">
        <f>E17/D17</f>
        <v>0.34166666666666667</v>
      </c>
      <c r="H17" s="99">
        <f>D17-E17</f>
        <v>2441.1</v>
      </c>
    </row>
    <row r="18" spans="1:8" ht="15.75" x14ac:dyDescent="0.25">
      <c r="A18" s="4" t="s">
        <v>74</v>
      </c>
      <c r="B18" s="4" t="s">
        <v>102</v>
      </c>
      <c r="C18" s="4">
        <v>59</v>
      </c>
      <c r="D18" s="4">
        <v>2908</v>
      </c>
      <c r="E18" s="65">
        <v>672</v>
      </c>
      <c r="F18" s="9">
        <f>11.3898305084746+7.7</f>
        <v>19.089830508474599</v>
      </c>
      <c r="G18" s="8">
        <f>E18/D18</f>
        <v>0.23108665749656121</v>
      </c>
      <c r="H18" s="99">
        <f>D18-E18</f>
        <v>2236</v>
      </c>
    </row>
    <row r="19" spans="1:8" ht="15.75" x14ac:dyDescent="0.25">
      <c r="A19" s="4" t="s">
        <v>52</v>
      </c>
      <c r="B19" s="4" t="s">
        <v>48</v>
      </c>
      <c r="C19" s="4">
        <v>54</v>
      </c>
      <c r="D19" s="4">
        <v>2879</v>
      </c>
      <c r="E19" s="65">
        <v>1029</v>
      </c>
      <c r="F19" s="9">
        <f>19.0555555555556+5.8</f>
        <v>24.8555555555556</v>
      </c>
      <c r="G19" s="8">
        <f>E19/D19</f>
        <v>0.35741576936436265</v>
      </c>
      <c r="H19" s="99">
        <f>D19-E19</f>
        <v>1850</v>
      </c>
    </row>
    <row r="20" spans="1:8" ht="15.75" x14ac:dyDescent="0.25">
      <c r="A20" s="4" t="s">
        <v>22</v>
      </c>
      <c r="B20" s="4" t="s">
        <v>48</v>
      </c>
      <c r="C20" s="4">
        <v>55</v>
      </c>
      <c r="D20" s="4">
        <v>2939</v>
      </c>
      <c r="E20" s="65">
        <v>1097.5999999999999</v>
      </c>
      <c r="F20" s="9">
        <f>19.9563636363636+7</f>
        <v>26.956363636363601</v>
      </c>
      <c r="G20" s="8">
        <f>E20/D20</f>
        <v>0.37346036066689348</v>
      </c>
      <c r="H20" s="99">
        <f>D20-E20</f>
        <v>1841.4</v>
      </c>
    </row>
    <row r="21" spans="1:8" ht="15.75" x14ac:dyDescent="0.25">
      <c r="A21" s="4" t="s">
        <v>20</v>
      </c>
      <c r="B21" s="4" t="s">
        <v>102</v>
      </c>
      <c r="C21" s="4">
        <v>41</v>
      </c>
      <c r="D21" s="4">
        <v>2193</v>
      </c>
      <c r="E21" s="65">
        <v>560</v>
      </c>
      <c r="F21" s="9">
        <f>13.6585365853659+5.4</f>
        <v>19.0585365853659</v>
      </c>
      <c r="G21" s="8">
        <f>E21/D21</f>
        <v>0.25535795713634291</v>
      </c>
      <c r="H21" s="99">
        <f>D21-E21</f>
        <v>1633</v>
      </c>
    </row>
    <row r="22" spans="1:8" ht="15.75" x14ac:dyDescent="0.25">
      <c r="A22" s="4" t="s">
        <v>41</v>
      </c>
      <c r="B22" s="4" t="s">
        <v>102</v>
      </c>
      <c r="C22" s="4">
        <v>32</v>
      </c>
      <c r="D22" s="4">
        <v>1703</v>
      </c>
      <c r="E22" s="65">
        <v>364</v>
      </c>
      <c r="F22" s="9">
        <f>11.375+5.8</f>
        <v>17.175000000000001</v>
      </c>
      <c r="G22" s="8">
        <f>E22/D22</f>
        <v>0.21374045801526717</v>
      </c>
      <c r="H22" s="99">
        <f>D22-E22</f>
        <v>1339</v>
      </c>
    </row>
    <row r="23" spans="1:8" ht="15.75" x14ac:dyDescent="0.25">
      <c r="A23" s="4" t="s">
        <v>19</v>
      </c>
      <c r="B23" s="4" t="s">
        <v>48</v>
      </c>
      <c r="C23" s="4">
        <v>27</v>
      </c>
      <c r="D23" s="4">
        <v>1455</v>
      </c>
      <c r="E23" s="65">
        <v>440.99999999999994</v>
      </c>
      <c r="F23" s="9">
        <f>16.3333333333333+8.4</f>
        <v>24.733333333333299</v>
      </c>
      <c r="G23" s="8">
        <f>E23/D23</f>
        <v>0.30309278350515462</v>
      </c>
      <c r="H23" s="99">
        <f>D23-E23</f>
        <v>1014</v>
      </c>
    </row>
    <row r="24" spans="1:8" ht="15.75" x14ac:dyDescent="0.25">
      <c r="A24" s="4" t="s">
        <v>8</v>
      </c>
      <c r="B24" s="4" t="s">
        <v>94</v>
      </c>
      <c r="C24" s="4">
        <v>37</v>
      </c>
      <c r="D24" s="4">
        <v>2018</v>
      </c>
      <c r="E24" s="65">
        <v>1074.4751900000001</v>
      </c>
      <c r="F24" s="9">
        <f>29.03987</f>
        <v>29.039870000000001</v>
      </c>
      <c r="G24" s="8">
        <f>E24/D24</f>
        <v>0.53244558473736381</v>
      </c>
      <c r="H24" s="99">
        <f>D24-E24</f>
        <v>943.52480999999989</v>
      </c>
    </row>
    <row r="25" spans="1:8" ht="15.75" x14ac:dyDescent="0.25">
      <c r="A25" s="4" t="s">
        <v>35</v>
      </c>
      <c r="B25" s="4" t="s">
        <v>33</v>
      </c>
      <c r="C25" s="4">
        <v>21</v>
      </c>
      <c r="D25" s="4">
        <v>1196</v>
      </c>
      <c r="E25" s="65">
        <v>314.99999999999994</v>
      </c>
      <c r="F25" s="9">
        <f>15+9.1</f>
        <v>24.1</v>
      </c>
      <c r="G25" s="8">
        <f>E25/D25</f>
        <v>0.26337792642140462</v>
      </c>
      <c r="H25" s="99">
        <f>D25-E25</f>
        <v>881</v>
      </c>
    </row>
    <row r="26" spans="1:8" ht="15.75" x14ac:dyDescent="0.25">
      <c r="A26" s="4" t="s">
        <v>39</v>
      </c>
      <c r="B26" s="4" t="s">
        <v>48</v>
      </c>
      <c r="C26" s="4">
        <v>29</v>
      </c>
      <c r="D26" s="4">
        <v>1537</v>
      </c>
      <c r="E26" s="65">
        <v>754.59999999999991</v>
      </c>
      <c r="F26" s="9">
        <f>26.0206896551724+6.2</f>
        <v>32.2206896551724</v>
      </c>
      <c r="G26" s="8">
        <f>E26/D26</f>
        <v>0.4909564085881587</v>
      </c>
      <c r="H26" s="99">
        <f>D26-E26</f>
        <v>782.40000000000009</v>
      </c>
    </row>
    <row r="27" spans="1:8" ht="15.75" x14ac:dyDescent="0.25">
      <c r="A27" s="4" t="s">
        <v>54</v>
      </c>
      <c r="B27" s="4" t="s">
        <v>102</v>
      </c>
      <c r="C27" s="4">
        <v>16</v>
      </c>
      <c r="D27" s="4">
        <v>790</v>
      </c>
      <c r="E27" s="10">
        <v>350</v>
      </c>
      <c r="F27" s="9">
        <f>21.875+3.5</f>
        <v>25.375</v>
      </c>
      <c r="G27" s="8">
        <f>E27/D27</f>
        <v>0.44303797468354428</v>
      </c>
      <c r="H27" s="99">
        <f>D27-E27</f>
        <v>440</v>
      </c>
    </row>
  </sheetData>
  <sortState xmlns:xlrd2="http://schemas.microsoft.com/office/spreadsheetml/2017/richdata2" ref="A2:H27">
    <sortCondition descending="1" ref="H1:H27"/>
  </sortState>
  <conditionalFormatting sqref="G2:G18 G20:G27">
    <cfRule type="cellIs" dxfId="10" priority="1" operator="greaterThan">
      <formula>0.3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0FED-BFEF-4104-AA5E-CBA867103DC3}">
  <dimension ref="A1:H17"/>
  <sheetViews>
    <sheetView tabSelected="1" zoomScale="96" zoomScaleNormal="96" workbookViewId="0">
      <pane ySplit="1" topLeftCell="A2" activePane="bottomLeft" state="frozen"/>
      <selection pane="bottomLeft" activeCell="O23" sqref="O23"/>
    </sheetView>
  </sheetViews>
  <sheetFormatPr defaultRowHeight="15" x14ac:dyDescent="0.25"/>
  <cols>
    <col min="1" max="1" width="18.85546875" bestFit="1" customWidth="1"/>
    <col min="2" max="2" width="25.8554687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8.75" x14ac:dyDescent="0.3">
      <c r="A2" s="23" t="s">
        <v>129</v>
      </c>
      <c r="B2" s="23" t="s">
        <v>142</v>
      </c>
      <c r="C2" s="23">
        <v>2807</v>
      </c>
      <c r="D2" s="23">
        <v>203408</v>
      </c>
      <c r="E2" s="25">
        <v>55995.040000000001</v>
      </c>
      <c r="F2" s="24">
        <v>23.648357677235481</v>
      </c>
      <c r="G2" s="58">
        <v>0.27528435459765593</v>
      </c>
      <c r="H2" s="99">
        <f>D2-E2</f>
        <v>147412.96</v>
      </c>
    </row>
    <row r="3" spans="1:8" ht="15.75" x14ac:dyDescent="0.25">
      <c r="A3" s="4" t="s">
        <v>13</v>
      </c>
      <c r="B3" s="4" t="s">
        <v>38</v>
      </c>
      <c r="C3" s="4">
        <v>648</v>
      </c>
      <c r="D3" s="4">
        <v>46960</v>
      </c>
      <c r="E3" s="10">
        <v>12625</v>
      </c>
      <c r="F3" s="9">
        <f>19.483024691358+2.4</f>
        <v>21.883024691357999</v>
      </c>
      <c r="G3" s="8">
        <f>E3/D3</f>
        <v>0.26884582623509368</v>
      </c>
      <c r="H3" s="99">
        <f>D3-E3</f>
        <v>34335</v>
      </c>
    </row>
    <row r="4" spans="1:8" ht="15.75" x14ac:dyDescent="0.25">
      <c r="A4" s="4" t="s">
        <v>6</v>
      </c>
      <c r="B4" s="4" t="s">
        <v>38</v>
      </c>
      <c r="C4" s="4">
        <v>385</v>
      </c>
      <c r="D4" s="4">
        <v>28456</v>
      </c>
      <c r="E4" s="10">
        <v>7050</v>
      </c>
      <c r="F4" s="9">
        <f>18.3116883116883+2.5</f>
        <v>20.8116883116883</v>
      </c>
      <c r="G4" s="8">
        <f>E4/D4</f>
        <v>0.24775091369131291</v>
      </c>
      <c r="H4" s="99">
        <f>D4-E4</f>
        <v>21406</v>
      </c>
    </row>
    <row r="5" spans="1:8" ht="15.75" x14ac:dyDescent="0.25">
      <c r="A5" s="4" t="s">
        <v>7</v>
      </c>
      <c r="B5" s="4" t="s">
        <v>112</v>
      </c>
      <c r="C5" s="4">
        <v>272</v>
      </c>
      <c r="D5" s="4">
        <v>19607</v>
      </c>
      <c r="E5" s="10">
        <v>2389.4400000000005</v>
      </c>
      <c r="F5" s="9">
        <f>8.78470588235294+3.8</f>
        <v>12.584705882352939</v>
      </c>
      <c r="G5" s="8">
        <f>E5/D5</f>
        <v>0.12186668026725152</v>
      </c>
      <c r="H5" s="99">
        <f>D5-E5</f>
        <v>17217.559999999998</v>
      </c>
    </row>
    <row r="6" spans="1:8" s="22" customFormat="1" ht="15.75" x14ac:dyDescent="0.25">
      <c r="A6" s="4" t="s">
        <v>16</v>
      </c>
      <c r="B6" s="4" t="s">
        <v>38</v>
      </c>
      <c r="C6" s="4">
        <v>273</v>
      </c>
      <c r="D6" s="4">
        <v>20268</v>
      </c>
      <c r="E6" s="10">
        <v>5300</v>
      </c>
      <c r="F6" s="9">
        <f>19.4139194139194+1.5</f>
        <v>20.913919413919398</v>
      </c>
      <c r="G6" s="8">
        <f>E6/D6</f>
        <v>0.26149595421353861</v>
      </c>
      <c r="H6" s="99">
        <f>D6-E6</f>
        <v>14968</v>
      </c>
    </row>
    <row r="7" spans="1:8" ht="15.75" x14ac:dyDescent="0.25">
      <c r="A7" s="4" t="s">
        <v>24</v>
      </c>
      <c r="B7" s="4" t="s">
        <v>38</v>
      </c>
      <c r="C7" s="4">
        <v>287</v>
      </c>
      <c r="D7" s="4">
        <v>20627</v>
      </c>
      <c r="E7" s="10">
        <v>7300</v>
      </c>
      <c r="F7" s="9">
        <f>25.4355400696864+2</f>
        <v>27.4355400696864</v>
      </c>
      <c r="G7" s="8">
        <f>E7/D7</f>
        <v>0.35390507587143066</v>
      </c>
      <c r="H7" s="99">
        <f>D7-E7</f>
        <v>13327</v>
      </c>
    </row>
    <row r="8" spans="1:8" ht="15.75" x14ac:dyDescent="0.25">
      <c r="A8" s="4" t="s">
        <v>17</v>
      </c>
      <c r="B8" s="4" t="s">
        <v>38</v>
      </c>
      <c r="C8" s="4">
        <v>242</v>
      </c>
      <c r="D8" s="4">
        <v>17272</v>
      </c>
      <c r="E8" s="10">
        <v>4725</v>
      </c>
      <c r="F8" s="9">
        <f>19.5247933884298+2.3</f>
        <v>21.8247933884298</v>
      </c>
      <c r="G8" s="8">
        <f>E8/D8</f>
        <v>0.2735641500694766</v>
      </c>
      <c r="H8" s="99">
        <f>D8-E8</f>
        <v>12547</v>
      </c>
    </row>
    <row r="9" spans="1:8" ht="15.75" x14ac:dyDescent="0.25">
      <c r="A9" s="4" t="s">
        <v>9</v>
      </c>
      <c r="B9" s="4" t="s">
        <v>105</v>
      </c>
      <c r="C9" s="4">
        <v>149</v>
      </c>
      <c r="D9" s="4">
        <v>10913</v>
      </c>
      <c r="E9" s="10">
        <v>2151</v>
      </c>
      <c r="F9" s="9">
        <f>14.4362416107383+5.7</f>
        <v>20.136241610738299</v>
      </c>
      <c r="G9" s="8">
        <f>E9/D9</f>
        <v>0.19710437093374875</v>
      </c>
      <c r="H9" s="99">
        <f>D9-E9</f>
        <v>8762</v>
      </c>
    </row>
    <row r="10" spans="1:8" ht="15.75" x14ac:dyDescent="0.25">
      <c r="A10" s="4" t="s">
        <v>11</v>
      </c>
      <c r="B10" s="4" t="s">
        <v>38</v>
      </c>
      <c r="C10" s="4">
        <v>186</v>
      </c>
      <c r="D10" s="4">
        <v>13396</v>
      </c>
      <c r="E10" s="10">
        <v>5100</v>
      </c>
      <c r="F10" s="9">
        <f>27.4193548387097+1.1</f>
        <v>28.519354838709702</v>
      </c>
      <c r="G10" s="8">
        <f>E10/D10</f>
        <v>0.38071065989847713</v>
      </c>
      <c r="H10" s="99">
        <f>D10-E10</f>
        <v>8296</v>
      </c>
    </row>
    <row r="11" spans="1:8" ht="15.75" x14ac:dyDescent="0.25">
      <c r="A11" s="4" t="s">
        <v>22</v>
      </c>
      <c r="B11" s="4" t="s">
        <v>61</v>
      </c>
      <c r="C11" s="4">
        <v>121</v>
      </c>
      <c r="D11" s="4">
        <v>8468</v>
      </c>
      <c r="E11" s="10">
        <v>2764.7999999999997</v>
      </c>
      <c r="F11" s="9">
        <f>22.8495867768595+7</f>
        <v>29.8495867768595</v>
      </c>
      <c r="G11" s="8">
        <f>E11/D11</f>
        <v>0.32649976381672174</v>
      </c>
      <c r="H11" s="99">
        <f>D11-E11</f>
        <v>5703.2000000000007</v>
      </c>
    </row>
    <row r="12" spans="1:8" ht="15.75" x14ac:dyDescent="0.25">
      <c r="A12" s="4" t="s">
        <v>55</v>
      </c>
      <c r="B12" s="4" t="s">
        <v>61</v>
      </c>
      <c r="C12" s="4">
        <v>84</v>
      </c>
      <c r="D12" s="4">
        <v>6123</v>
      </c>
      <c r="E12" s="10">
        <v>2131.1999999999998</v>
      </c>
      <c r="F12" s="9">
        <f>25.3714285714286+5.3</f>
        <v>30.671428571428599</v>
      </c>
      <c r="G12" s="8">
        <f>E12/D12</f>
        <v>0.34806467417932385</v>
      </c>
      <c r="H12" s="99">
        <f>D12-E12</f>
        <v>3991.8</v>
      </c>
    </row>
    <row r="13" spans="1:8" ht="15.75" x14ac:dyDescent="0.25">
      <c r="A13" s="4" t="s">
        <v>59</v>
      </c>
      <c r="B13" s="4" t="s">
        <v>61</v>
      </c>
      <c r="C13" s="4">
        <v>45</v>
      </c>
      <c r="D13" s="4">
        <v>3215</v>
      </c>
      <c r="E13" s="10">
        <v>921.6</v>
      </c>
      <c r="F13" s="9">
        <f>20.48+5.1</f>
        <v>25.58</v>
      </c>
      <c r="G13" s="8">
        <f>E13/D13</f>
        <v>0.28665629860031105</v>
      </c>
      <c r="H13" s="99">
        <f>D13-E13</f>
        <v>2293.4</v>
      </c>
    </row>
    <row r="14" spans="1:8" ht="15.75" x14ac:dyDescent="0.25">
      <c r="A14" s="4" t="s">
        <v>52</v>
      </c>
      <c r="B14" s="4" t="s">
        <v>61</v>
      </c>
      <c r="C14" s="4">
        <v>52</v>
      </c>
      <c r="D14" s="4">
        <v>3661</v>
      </c>
      <c r="E14" s="10">
        <v>1728.0000000000002</v>
      </c>
      <c r="F14" s="9">
        <f>33.2307692307692+8.2</f>
        <v>41.430769230769201</v>
      </c>
      <c r="G14" s="8">
        <f>E14/D14</f>
        <v>0.4720021851953019</v>
      </c>
      <c r="H14" s="99">
        <f>D14-E14</f>
        <v>1932.9999999999998</v>
      </c>
    </row>
    <row r="15" spans="1:8" ht="15.75" x14ac:dyDescent="0.25">
      <c r="A15" s="4" t="s">
        <v>41</v>
      </c>
      <c r="B15" s="4" t="s">
        <v>105</v>
      </c>
      <c r="C15" s="4">
        <v>32</v>
      </c>
      <c r="D15" s="4">
        <v>2265</v>
      </c>
      <c r="E15" s="10">
        <v>756.00000000000011</v>
      </c>
      <c r="F15" s="9">
        <f>23.625+5.8</f>
        <v>29.425000000000001</v>
      </c>
      <c r="G15" s="8">
        <f>E15/D15</f>
        <v>0.33377483443708617</v>
      </c>
      <c r="H15" s="99">
        <f>D15-E15</f>
        <v>1509</v>
      </c>
    </row>
    <row r="16" spans="1:8" ht="15.75" x14ac:dyDescent="0.25">
      <c r="A16" s="4" t="s">
        <v>35</v>
      </c>
      <c r="B16" s="4" t="s">
        <v>38</v>
      </c>
      <c r="C16" s="4">
        <v>24</v>
      </c>
      <c r="D16" s="4">
        <v>1813</v>
      </c>
      <c r="E16" s="10">
        <v>602.99999999999989</v>
      </c>
      <c r="F16" s="9">
        <f>25.125+9.1</f>
        <v>34.225000000000001</v>
      </c>
      <c r="G16" s="8">
        <f>E16/D16</f>
        <v>0.33259790402647538</v>
      </c>
      <c r="H16" s="99">
        <f>D16-E16</f>
        <v>1210</v>
      </c>
    </row>
    <row r="17" spans="1:8" ht="15.75" x14ac:dyDescent="0.25">
      <c r="A17" s="4" t="s">
        <v>42</v>
      </c>
      <c r="B17" s="4" t="s">
        <v>105</v>
      </c>
      <c r="C17" s="4">
        <v>7</v>
      </c>
      <c r="D17" s="4">
        <v>364</v>
      </c>
      <c r="E17" s="10">
        <v>450</v>
      </c>
      <c r="F17" s="9">
        <f>64.2857142857143+5.1</f>
        <v>69.3857142857143</v>
      </c>
      <c r="G17" s="8">
        <f>E17/D17</f>
        <v>1.2362637362637363</v>
      </c>
      <c r="H17" s="99">
        <f>D17-E17</f>
        <v>-86</v>
      </c>
    </row>
  </sheetData>
  <autoFilter ref="A1:F16" xr:uid="{53830FED-BFEF-4104-AA5E-CBA867103DC3}">
    <sortState xmlns:xlrd2="http://schemas.microsoft.com/office/spreadsheetml/2017/richdata2" ref="A2:F16">
      <sortCondition descending="1" ref="C1:C16"/>
    </sortState>
  </autoFilter>
  <sortState xmlns:xlrd2="http://schemas.microsoft.com/office/spreadsheetml/2017/richdata2" ref="A2:H17">
    <sortCondition descending="1" ref="H1:H17"/>
  </sortState>
  <conditionalFormatting sqref="G2:G17">
    <cfRule type="cellIs" dxfId="9" priority="1" operator="greaterThan">
      <formula>0.3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CCAF-39F3-416B-9F58-9A9556A29DF2}">
  <dimension ref="A1:H9"/>
  <sheetViews>
    <sheetView zoomScale="95" zoomScaleNormal="95"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18.42578125" bestFit="1" customWidth="1"/>
    <col min="2" max="2" width="26.4257812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8.75" x14ac:dyDescent="0.3">
      <c r="A2" s="28" t="s">
        <v>129</v>
      </c>
      <c r="B2" s="28" t="s">
        <v>143</v>
      </c>
      <c r="C2" s="28">
        <v>897</v>
      </c>
      <c r="D2" s="28">
        <v>164172</v>
      </c>
      <c r="E2" s="59">
        <v>48758.49</v>
      </c>
      <c r="F2" s="29">
        <v>58.057290969899668</v>
      </c>
      <c r="G2" s="50">
        <v>0.29699638184343247</v>
      </c>
      <c r="H2" s="99">
        <f>D2-E2</f>
        <v>115413.51000000001</v>
      </c>
    </row>
    <row r="3" spans="1:8" ht="15.75" x14ac:dyDescent="0.25">
      <c r="A3" s="4" t="s">
        <v>74</v>
      </c>
      <c r="B3" s="4" t="s">
        <v>104</v>
      </c>
      <c r="C3" s="4">
        <v>300</v>
      </c>
      <c r="D3" s="4">
        <v>55811</v>
      </c>
      <c r="E3" s="10">
        <v>13692</v>
      </c>
      <c r="F3" s="9">
        <f>E3/C3+5.1</f>
        <v>50.74</v>
      </c>
      <c r="G3" s="8">
        <f>E3/D3</f>
        <v>0.24532798193904429</v>
      </c>
      <c r="H3" s="99">
        <f>D3-E3</f>
        <v>42119</v>
      </c>
    </row>
    <row r="4" spans="1:8" ht="15.75" x14ac:dyDescent="0.25">
      <c r="A4" s="4" t="s">
        <v>54</v>
      </c>
      <c r="B4" s="4" t="s">
        <v>104</v>
      </c>
      <c r="C4" s="4">
        <v>187</v>
      </c>
      <c r="D4" s="4">
        <v>34001</v>
      </c>
      <c r="E4" s="10">
        <v>8825.0400000000009</v>
      </c>
      <c r="F4" s="9">
        <f>E4/C4+3.5</f>
        <v>50.692727272727275</v>
      </c>
      <c r="G4" s="8">
        <f>E4/D4</f>
        <v>0.25955236610687926</v>
      </c>
      <c r="H4" s="99">
        <f>D4-E4</f>
        <v>25175.96</v>
      </c>
    </row>
    <row r="5" spans="1:8" ht="15.75" x14ac:dyDescent="0.25">
      <c r="A5" s="4" t="s">
        <v>15</v>
      </c>
      <c r="B5" s="4" t="s">
        <v>104</v>
      </c>
      <c r="C5" s="4">
        <v>95</v>
      </c>
      <c r="D5" s="4">
        <v>18074</v>
      </c>
      <c r="E5" s="10">
        <v>5418</v>
      </c>
      <c r="F5" s="9">
        <f>E5/C5+5.5</f>
        <v>62.531578947368423</v>
      </c>
      <c r="G5" s="8">
        <f>E5/D5</f>
        <v>0.29976762199845081</v>
      </c>
      <c r="H5" s="99">
        <f>D5-E5</f>
        <v>12656</v>
      </c>
    </row>
    <row r="6" spans="1:8" ht="15.75" x14ac:dyDescent="0.25">
      <c r="A6" s="4" t="s">
        <v>18</v>
      </c>
      <c r="B6" s="4" t="s">
        <v>104</v>
      </c>
      <c r="C6" s="4">
        <v>112</v>
      </c>
      <c r="D6" s="4">
        <v>19727</v>
      </c>
      <c r="E6" s="10">
        <v>8315.9999999999982</v>
      </c>
      <c r="F6" s="9">
        <f>E6/C6+4.8</f>
        <v>79.049999999999983</v>
      </c>
      <c r="G6" s="8">
        <f>E6/D6</f>
        <v>0.42155421503523083</v>
      </c>
      <c r="H6" s="99">
        <f>D6-E6</f>
        <v>11411.000000000002</v>
      </c>
    </row>
    <row r="7" spans="1:8" ht="15.75" x14ac:dyDescent="0.25">
      <c r="A7" s="4" t="s">
        <v>9</v>
      </c>
      <c r="B7" s="4" t="s">
        <v>104</v>
      </c>
      <c r="C7" s="4">
        <v>84</v>
      </c>
      <c r="D7" s="4">
        <v>15374</v>
      </c>
      <c r="E7" s="10">
        <v>4358.7599999999993</v>
      </c>
      <c r="F7" s="9">
        <f>E7/C7+5.7</f>
        <v>57.589999999999996</v>
      </c>
      <c r="G7" s="8">
        <f>E7/D7</f>
        <v>0.28351502536750356</v>
      </c>
      <c r="H7" s="99">
        <f>D7-E7</f>
        <v>11015.240000000002</v>
      </c>
    </row>
    <row r="8" spans="1:8" ht="15.75" x14ac:dyDescent="0.25">
      <c r="A8" s="4" t="s">
        <v>21</v>
      </c>
      <c r="B8" s="4" t="s">
        <v>104</v>
      </c>
      <c r="C8" s="4">
        <v>98</v>
      </c>
      <c r="D8" s="4">
        <v>17214</v>
      </c>
      <c r="E8" s="10">
        <v>6375.5999999999995</v>
      </c>
      <c r="F8" s="9">
        <f>E8/C8+8.9</f>
        <v>73.957142857142856</v>
      </c>
      <c r="G8" s="8">
        <f>E8/D8</f>
        <v>0.37037295224817007</v>
      </c>
      <c r="H8" s="99">
        <f>D8-E8</f>
        <v>10838.400000000001</v>
      </c>
    </row>
    <row r="9" spans="1:8" ht="15.75" x14ac:dyDescent="0.25">
      <c r="A9" s="4" t="s">
        <v>7</v>
      </c>
      <c r="B9" s="4" t="s">
        <v>128</v>
      </c>
      <c r="C9" s="4">
        <v>21</v>
      </c>
      <c r="D9" s="4">
        <v>3971</v>
      </c>
      <c r="E9" s="10">
        <v>1773.0899999999997</v>
      </c>
      <c r="F9" s="9">
        <f>E9/C9+3.8</f>
        <v>88.232857142857128</v>
      </c>
      <c r="G9" s="8">
        <f>E9/D9</f>
        <v>0.44650969529085865</v>
      </c>
      <c r="H9" s="99">
        <f>D9-E9</f>
        <v>2197.9100000000003</v>
      </c>
    </row>
  </sheetData>
  <sortState xmlns:xlrd2="http://schemas.microsoft.com/office/spreadsheetml/2017/richdata2" ref="A2:H9">
    <sortCondition descending="1" ref="H1:H9"/>
  </sortState>
  <conditionalFormatting sqref="G2:G9">
    <cfRule type="cellIs" dxfId="8" priority="1" operator="greaterThan">
      <formula>0.3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8CD3-6E67-4B25-9761-2100F6381142}">
  <dimension ref="A1:H31"/>
  <sheetViews>
    <sheetView zoomScaleNormal="100"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20.5703125" bestFit="1" customWidth="1"/>
    <col min="2" max="2" width="19.5703125" customWidth="1"/>
    <col min="3" max="3" width="17.7109375" bestFit="1" customWidth="1"/>
    <col min="4" max="4" width="22.85546875" bestFit="1" customWidth="1"/>
    <col min="5" max="5" width="17.28515625" bestFit="1" customWidth="1"/>
    <col min="6" max="6" width="15" bestFit="1" customWidth="1"/>
    <col min="7" max="7" width="17.85546875" customWidth="1"/>
    <col min="8" max="8" width="11.5703125" style="19" bestFit="1" customWidth="1"/>
  </cols>
  <sheetData>
    <row r="1" spans="1:8" ht="21.75" thickTop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8" t="s">
        <v>126</v>
      </c>
      <c r="H1" s="68" t="s">
        <v>159</v>
      </c>
    </row>
    <row r="2" spans="1:8" ht="18.75" x14ac:dyDescent="0.3">
      <c r="A2" s="28" t="s">
        <v>129</v>
      </c>
      <c r="B2" s="28" t="s">
        <v>144</v>
      </c>
      <c r="C2" s="59">
        <v>25214</v>
      </c>
      <c r="D2" s="59">
        <v>572014</v>
      </c>
      <c r="E2" s="59">
        <v>20524.0095</v>
      </c>
      <c r="F2" s="29">
        <v>2.0139926033156201</v>
      </c>
      <c r="G2" s="50">
        <v>3.588025730139472E-2</v>
      </c>
      <c r="H2" s="106">
        <f>D2-E2</f>
        <v>551489.99049999996</v>
      </c>
    </row>
    <row r="3" spans="1:8" ht="15.75" x14ac:dyDescent="0.25">
      <c r="A3" s="18" t="s">
        <v>13</v>
      </c>
      <c r="B3" s="18" t="s">
        <v>77</v>
      </c>
      <c r="C3" s="18">
        <v>3381</v>
      </c>
      <c r="D3" s="18">
        <v>82896</v>
      </c>
      <c r="E3" s="10">
        <v>3495.6075000000001</v>
      </c>
      <c r="F3" s="9">
        <f>E3/C3+0.1</f>
        <v>1.1338975155279505</v>
      </c>
      <c r="G3" s="8">
        <f>E3/D3</f>
        <v>4.2168590764331208E-2</v>
      </c>
      <c r="H3" s="101">
        <f>D3-E3</f>
        <v>79400.392500000002</v>
      </c>
    </row>
    <row r="4" spans="1:8" ht="15.75" x14ac:dyDescent="0.25">
      <c r="A4" s="18" t="s">
        <v>24</v>
      </c>
      <c r="B4" s="18" t="s">
        <v>77</v>
      </c>
      <c r="C4" s="18">
        <v>1996</v>
      </c>
      <c r="D4" s="18">
        <v>53781</v>
      </c>
      <c r="E4" s="10">
        <v>2110.6890000000008</v>
      </c>
      <c r="F4" s="9">
        <f>E4/C4+0.1</f>
        <v>1.1574594188376759</v>
      </c>
      <c r="G4" s="8">
        <f>E4/D4</f>
        <v>3.9245997657165181E-2</v>
      </c>
      <c r="H4" s="101">
        <f>D4-E4</f>
        <v>51670.311000000002</v>
      </c>
    </row>
    <row r="5" spans="1:8" ht="15.75" x14ac:dyDescent="0.25">
      <c r="A5" s="18" t="s">
        <v>16</v>
      </c>
      <c r="B5" s="18" t="s">
        <v>77</v>
      </c>
      <c r="C5" s="18">
        <v>1450</v>
      </c>
      <c r="D5" s="18">
        <v>39228</v>
      </c>
      <c r="E5" s="10">
        <v>1802.4509999999998</v>
      </c>
      <c r="F5" s="9">
        <f>E5/C5+0.1</f>
        <v>1.3430696551724137</v>
      </c>
      <c r="G5" s="8">
        <f>E5/D5</f>
        <v>4.5948072805139184E-2</v>
      </c>
      <c r="H5" s="101">
        <f>D5-E5</f>
        <v>37425.548999999999</v>
      </c>
    </row>
    <row r="6" spans="1:8" ht="15.75" x14ac:dyDescent="0.25">
      <c r="A6" s="18" t="s">
        <v>17</v>
      </c>
      <c r="B6" s="18" t="s">
        <v>77</v>
      </c>
      <c r="C6" s="18">
        <v>1513</v>
      </c>
      <c r="D6" s="18">
        <v>38237</v>
      </c>
      <c r="E6" s="10">
        <v>1885.2854999999997</v>
      </c>
      <c r="F6" s="9">
        <f>E6/C6+0.1</f>
        <v>1.3460578321216126</v>
      </c>
      <c r="G6" s="8">
        <f>E6/D6</f>
        <v>4.9305267149619469E-2</v>
      </c>
      <c r="H6" s="101">
        <f>D6-E6</f>
        <v>36351.714500000002</v>
      </c>
    </row>
    <row r="7" spans="1:8" ht="15.75" x14ac:dyDescent="0.25">
      <c r="A7" s="18" t="s">
        <v>44</v>
      </c>
      <c r="B7" s="18" t="s">
        <v>71</v>
      </c>
      <c r="C7" s="18">
        <v>855</v>
      </c>
      <c r="D7" s="18">
        <v>32113</v>
      </c>
      <c r="E7" s="10">
        <v>1034.3645000000001</v>
      </c>
      <c r="F7" s="9">
        <f>E7/C7+0.8</f>
        <v>2.0097830409356727</v>
      </c>
      <c r="G7" s="8">
        <f>E7/D7</f>
        <v>3.2210148537975276E-2</v>
      </c>
      <c r="H7" s="101">
        <f>D7-E7</f>
        <v>31078.6355</v>
      </c>
    </row>
    <row r="8" spans="1:8" ht="15.75" x14ac:dyDescent="0.25">
      <c r="A8" s="18" t="s">
        <v>7</v>
      </c>
      <c r="B8" s="18" t="s">
        <v>71</v>
      </c>
      <c r="C8" s="18">
        <v>1404</v>
      </c>
      <c r="D8" s="18">
        <v>30110</v>
      </c>
      <c r="E8" s="10">
        <v>1743.2350000000001</v>
      </c>
      <c r="F8" s="9">
        <f>E8/C8+1</f>
        <v>2.2416203703703705</v>
      </c>
      <c r="G8" s="8">
        <f>E8/D8</f>
        <v>5.7895549651278647E-2</v>
      </c>
      <c r="H8" s="101">
        <f>D8-E8</f>
        <v>28366.764999999999</v>
      </c>
    </row>
    <row r="9" spans="1:8" ht="15.75" x14ac:dyDescent="0.25">
      <c r="A9" s="18" t="s">
        <v>15</v>
      </c>
      <c r="B9" s="18" t="s">
        <v>71</v>
      </c>
      <c r="C9" s="18">
        <v>1026</v>
      </c>
      <c r="D9" s="18">
        <v>28700</v>
      </c>
      <c r="E9" s="10">
        <v>415</v>
      </c>
      <c r="F9" s="9">
        <f>E9/C9+3</f>
        <v>3.4044834307992202</v>
      </c>
      <c r="G9" s="8">
        <f>E9/D9</f>
        <v>1.445993031358885E-2</v>
      </c>
      <c r="H9" s="101">
        <f>D9-E9</f>
        <v>28285</v>
      </c>
    </row>
    <row r="10" spans="1:8" ht="15.75" x14ac:dyDescent="0.25">
      <c r="A10" s="18" t="s">
        <v>11</v>
      </c>
      <c r="B10" s="18" t="s">
        <v>71</v>
      </c>
      <c r="C10" s="18">
        <v>2613</v>
      </c>
      <c r="D10" s="18">
        <v>27485</v>
      </c>
      <c r="E10" s="10">
        <v>428.81999999999994</v>
      </c>
      <c r="F10" s="9">
        <f>E10/C10+1.9</f>
        <v>2.064110218140069</v>
      </c>
      <c r="G10" s="8">
        <f>E10/D10</f>
        <v>1.5601964708022555E-2</v>
      </c>
      <c r="H10" s="101">
        <f>D10-E10</f>
        <v>27056.18</v>
      </c>
    </row>
    <row r="11" spans="1:8" ht="15.75" x14ac:dyDescent="0.25">
      <c r="A11" s="18" t="s">
        <v>6</v>
      </c>
      <c r="B11" s="18" t="s">
        <v>77</v>
      </c>
      <c r="C11" s="18">
        <v>1190</v>
      </c>
      <c r="D11" s="18">
        <v>26148</v>
      </c>
      <c r="E11" s="10">
        <v>1024.6635000000001</v>
      </c>
      <c r="F11" s="9">
        <f>E11/C11+0.1</f>
        <v>0.96106176470588245</v>
      </c>
      <c r="G11" s="8">
        <f>E11/D11</f>
        <v>3.9187069756769166E-2</v>
      </c>
      <c r="H11" s="101">
        <f>D11-E11</f>
        <v>25123.336500000001</v>
      </c>
    </row>
    <row r="12" spans="1:8" ht="15.75" x14ac:dyDescent="0.25">
      <c r="A12" s="18" t="s">
        <v>9</v>
      </c>
      <c r="B12" s="18" t="s">
        <v>71</v>
      </c>
      <c r="C12" s="18">
        <v>840</v>
      </c>
      <c r="D12" s="18">
        <v>24310</v>
      </c>
      <c r="E12" s="10">
        <v>525.08299999999997</v>
      </c>
      <c r="F12" s="9">
        <f>E12/C12+2.1</f>
        <v>2.7250988095238098</v>
      </c>
      <c r="G12" s="8">
        <f>E12/D12</f>
        <v>2.159946524064171E-2</v>
      </c>
      <c r="H12" s="101">
        <f>D12-E12</f>
        <v>23784.917000000001</v>
      </c>
    </row>
    <row r="13" spans="1:8" ht="15.75" x14ac:dyDescent="0.25">
      <c r="A13" s="18" t="s">
        <v>47</v>
      </c>
      <c r="B13" s="18" t="s">
        <v>71</v>
      </c>
      <c r="C13" s="18">
        <v>1066</v>
      </c>
      <c r="D13" s="18">
        <v>24634</v>
      </c>
      <c r="E13" s="10">
        <v>1019.9150000000001</v>
      </c>
      <c r="F13" s="9">
        <f>E13/C13+1.1</f>
        <v>2.0567682926829267</v>
      </c>
      <c r="G13" s="8">
        <f>E13/D13</f>
        <v>4.1402736055857758E-2</v>
      </c>
      <c r="H13" s="101">
        <f>D13-E13</f>
        <v>23614.084999999999</v>
      </c>
    </row>
    <row r="14" spans="1:8" ht="15.75" x14ac:dyDescent="0.25">
      <c r="A14" s="18" t="s">
        <v>59</v>
      </c>
      <c r="B14" s="18" t="s">
        <v>71</v>
      </c>
      <c r="C14" s="18">
        <v>1387</v>
      </c>
      <c r="D14" s="18">
        <v>21400</v>
      </c>
      <c r="E14" s="10">
        <v>523.73099999999999</v>
      </c>
      <c r="F14" s="9">
        <f>E14/C14+1.3</f>
        <v>1.6775998558038934</v>
      </c>
      <c r="G14" s="8">
        <f>E14/D14</f>
        <v>2.4473411214953271E-2</v>
      </c>
      <c r="H14" s="101">
        <f>D14-E14</f>
        <v>20876.269</v>
      </c>
    </row>
    <row r="15" spans="1:8" ht="15.75" x14ac:dyDescent="0.25">
      <c r="A15" s="18" t="s">
        <v>22</v>
      </c>
      <c r="B15" s="18" t="s">
        <v>71</v>
      </c>
      <c r="C15" s="18">
        <v>740</v>
      </c>
      <c r="D15" s="18">
        <v>15897</v>
      </c>
      <c r="E15" s="10">
        <v>388.86900000000003</v>
      </c>
      <c r="F15" s="9">
        <f>E15/C15+1.6</f>
        <v>2.1254986486486489</v>
      </c>
      <c r="G15" s="8">
        <f>E15/D15</f>
        <v>2.4461785242498587E-2</v>
      </c>
      <c r="H15" s="101">
        <f>D15-E15</f>
        <v>15508.130999999999</v>
      </c>
    </row>
    <row r="16" spans="1:8" ht="15.75" x14ac:dyDescent="0.25">
      <c r="A16" s="18" t="s">
        <v>21</v>
      </c>
      <c r="B16" s="18" t="s">
        <v>119</v>
      </c>
      <c r="C16" s="18">
        <v>450</v>
      </c>
      <c r="D16" s="18">
        <v>12857</v>
      </c>
      <c r="E16" s="10">
        <v>255.6165</v>
      </c>
      <c r="F16" s="9">
        <f>E16/C16+2.7</f>
        <v>3.2680366666666667</v>
      </c>
      <c r="G16" s="8">
        <f>E16/D16</f>
        <v>1.9881504238935987E-2</v>
      </c>
      <c r="H16" s="101">
        <f>D16-E16</f>
        <v>12601.3835</v>
      </c>
    </row>
    <row r="17" spans="1:8" ht="15.75" x14ac:dyDescent="0.25">
      <c r="A17" s="18" t="s">
        <v>12</v>
      </c>
      <c r="B17" s="18" t="s">
        <v>119</v>
      </c>
      <c r="C17" s="18">
        <v>588</v>
      </c>
      <c r="D17" s="18">
        <v>12271</v>
      </c>
      <c r="E17" s="10">
        <v>441.30600000000004</v>
      </c>
      <c r="F17" s="9">
        <f>E17/C17+1.5</f>
        <v>2.2505204081632653</v>
      </c>
      <c r="G17" s="8">
        <f>E17/D17</f>
        <v>3.5963328172113118E-2</v>
      </c>
      <c r="H17" s="101">
        <f>D17-E17</f>
        <v>11829.694</v>
      </c>
    </row>
    <row r="18" spans="1:8" ht="15.75" x14ac:dyDescent="0.25">
      <c r="A18" s="18" t="s">
        <v>74</v>
      </c>
      <c r="B18" s="18" t="s">
        <v>71</v>
      </c>
      <c r="C18" s="18">
        <v>1928</v>
      </c>
      <c r="D18" s="18">
        <v>12482</v>
      </c>
      <c r="E18" s="10">
        <v>936.09099999999989</v>
      </c>
      <c r="F18" s="9">
        <f>E18/C18+1.8</f>
        <v>2.2855243775933611</v>
      </c>
      <c r="G18" s="8">
        <f>E18/D18</f>
        <v>7.4995273193398479E-2</v>
      </c>
      <c r="H18" s="101">
        <f>D18-E18</f>
        <v>11545.909</v>
      </c>
    </row>
    <row r="19" spans="1:8" ht="15.75" x14ac:dyDescent="0.25">
      <c r="A19" s="18" t="s">
        <v>55</v>
      </c>
      <c r="B19" s="18" t="s">
        <v>71</v>
      </c>
      <c r="C19" s="18">
        <v>770</v>
      </c>
      <c r="D19" s="18">
        <v>11215</v>
      </c>
      <c r="E19" s="10">
        <v>287.04649999999998</v>
      </c>
      <c r="F19" s="9">
        <f>E19/C19+1.9</f>
        <v>2.2727876623376622</v>
      </c>
      <c r="G19" s="8">
        <f>E19/D19</f>
        <v>2.5594872938029423E-2</v>
      </c>
      <c r="H19" s="101">
        <f>D19-E19</f>
        <v>10927.9535</v>
      </c>
    </row>
    <row r="20" spans="1:8" ht="15.75" x14ac:dyDescent="0.25">
      <c r="A20" s="18" t="s">
        <v>41</v>
      </c>
      <c r="B20" s="18" t="s">
        <v>119</v>
      </c>
      <c r="C20" s="18">
        <v>449</v>
      </c>
      <c r="D20" s="18">
        <v>10662</v>
      </c>
      <c r="E20" s="10">
        <v>229.25399999999996</v>
      </c>
      <c r="F20" s="9">
        <f>E20/C20+2.3</f>
        <v>2.8105879732739418</v>
      </c>
      <c r="G20" s="8">
        <f>E20/D20</f>
        <v>2.1501969611705116E-2</v>
      </c>
      <c r="H20" s="101">
        <f>D20-E20</f>
        <v>10432.745999999999</v>
      </c>
    </row>
    <row r="21" spans="1:8" ht="15.75" x14ac:dyDescent="0.25">
      <c r="A21" s="18" t="s">
        <v>35</v>
      </c>
      <c r="B21" s="18" t="s">
        <v>119</v>
      </c>
      <c r="C21" s="18">
        <v>414</v>
      </c>
      <c r="D21" s="18">
        <v>10516</v>
      </c>
      <c r="E21" s="10">
        <v>99.630000000000024</v>
      </c>
      <c r="F21" s="9">
        <f>E21/C21+1.9</f>
        <v>2.1406521739130433</v>
      </c>
      <c r="G21" s="8">
        <f>E21/D21</f>
        <v>9.4741346519589213E-3</v>
      </c>
      <c r="H21" s="101">
        <f>D21-E21</f>
        <v>10416.370000000001</v>
      </c>
    </row>
    <row r="22" spans="1:8" ht="15.75" x14ac:dyDescent="0.25">
      <c r="A22" s="18" t="s">
        <v>18</v>
      </c>
      <c r="B22" s="18" t="s">
        <v>119</v>
      </c>
      <c r="C22" s="18">
        <v>419</v>
      </c>
      <c r="D22" s="18">
        <v>9847</v>
      </c>
      <c r="E22" s="10">
        <v>178.58250000000001</v>
      </c>
      <c r="F22" s="9">
        <f>E22/C22+1.1</f>
        <v>1.526211217183771</v>
      </c>
      <c r="G22" s="8">
        <f>E22/D22</f>
        <v>1.813572661724383E-2</v>
      </c>
      <c r="H22" s="101">
        <f>D22-E22</f>
        <v>9668.4174999999996</v>
      </c>
    </row>
    <row r="23" spans="1:8" ht="15.75" x14ac:dyDescent="0.25">
      <c r="A23" s="18" t="s">
        <v>31</v>
      </c>
      <c r="B23" s="18" t="s">
        <v>119</v>
      </c>
      <c r="C23" s="18">
        <v>410</v>
      </c>
      <c r="D23" s="18">
        <v>8563</v>
      </c>
      <c r="E23" s="10">
        <v>390.0795</v>
      </c>
      <c r="F23" s="9">
        <f>E23/C23+1.9</f>
        <v>2.8514134146341461</v>
      </c>
      <c r="G23" s="8">
        <f>E23/D23</f>
        <v>4.5554069835338079E-2</v>
      </c>
      <c r="H23" s="101">
        <f>D23-E23</f>
        <v>8172.9205000000002</v>
      </c>
    </row>
    <row r="24" spans="1:8" ht="15.75" x14ac:dyDescent="0.25">
      <c r="A24" s="18" t="s">
        <v>8</v>
      </c>
      <c r="B24" s="18" t="s">
        <v>119</v>
      </c>
      <c r="C24" s="18">
        <v>280</v>
      </c>
      <c r="D24" s="18">
        <v>7474</v>
      </c>
      <c r="E24" s="10">
        <v>68.762999999999977</v>
      </c>
      <c r="F24" s="9">
        <f>E24/C24+4</f>
        <v>4.2455821428571427</v>
      </c>
      <c r="G24" s="8">
        <f>E24/D24</f>
        <v>9.2002943537596964E-3</v>
      </c>
      <c r="H24" s="101">
        <f>D24-E24</f>
        <v>7405.2370000000001</v>
      </c>
    </row>
    <row r="25" spans="1:8" ht="15.75" x14ac:dyDescent="0.25">
      <c r="A25" s="18" t="s">
        <v>39</v>
      </c>
      <c r="B25" s="18" t="s">
        <v>119</v>
      </c>
      <c r="C25" s="18">
        <v>386</v>
      </c>
      <c r="D25" s="18">
        <v>7141</v>
      </c>
      <c r="E25" s="10">
        <v>319.00349999999997</v>
      </c>
      <c r="F25" s="9">
        <f>E25/C25+1.3</f>
        <v>2.1264339378238342</v>
      </c>
      <c r="G25" s="8">
        <f>E25/D25</f>
        <v>4.4672104747234279E-2</v>
      </c>
      <c r="H25" s="101">
        <f>D25-E25</f>
        <v>6821.9965000000002</v>
      </c>
    </row>
    <row r="26" spans="1:8" ht="15.75" x14ac:dyDescent="0.25">
      <c r="A26" s="18" t="s">
        <v>54</v>
      </c>
      <c r="B26" s="18" t="s">
        <v>119</v>
      </c>
      <c r="C26" s="18">
        <v>252</v>
      </c>
      <c r="D26" s="18">
        <v>6785</v>
      </c>
      <c r="E26" s="10">
        <v>174.13050000000001</v>
      </c>
      <c r="F26" s="9">
        <f>E26/C26+2.7</f>
        <v>3.3909940476190479</v>
      </c>
      <c r="G26" s="8">
        <f>E26/D26</f>
        <v>2.566403831982314E-2</v>
      </c>
      <c r="H26" s="101">
        <f>D26-E26</f>
        <v>6610.8694999999998</v>
      </c>
    </row>
    <row r="27" spans="1:8" ht="15.75" x14ac:dyDescent="0.25">
      <c r="A27" s="18" t="s">
        <v>19</v>
      </c>
      <c r="B27" s="18" t="s">
        <v>71</v>
      </c>
      <c r="C27" s="18">
        <v>158</v>
      </c>
      <c r="D27" s="18">
        <v>6724</v>
      </c>
      <c r="E27" s="10">
        <v>170.26749999999998</v>
      </c>
      <c r="F27" s="9">
        <f>E27/C27+1.4</f>
        <v>2.4776424050632908</v>
      </c>
      <c r="G27" s="8">
        <f>E27/D27</f>
        <v>2.5322352766210587E-2</v>
      </c>
      <c r="H27" s="101">
        <f>D27-E27</f>
        <v>6553.7325000000001</v>
      </c>
    </row>
    <row r="28" spans="1:8" ht="15.75" x14ac:dyDescent="0.25">
      <c r="A28" s="18" t="s">
        <v>20</v>
      </c>
      <c r="B28" s="18" t="s">
        <v>119</v>
      </c>
      <c r="C28" s="18">
        <v>368</v>
      </c>
      <c r="D28" s="18">
        <v>6381</v>
      </c>
      <c r="E28" s="10">
        <v>156</v>
      </c>
      <c r="F28" s="9">
        <f>E28/C28+1.8</f>
        <v>2.223913043478261</v>
      </c>
      <c r="G28" s="8">
        <f>E28/D28</f>
        <v>2.4447578749412318E-2</v>
      </c>
      <c r="H28" s="101">
        <f>D28-E28</f>
        <v>6225</v>
      </c>
    </row>
    <row r="29" spans="1:8" ht="15.75" x14ac:dyDescent="0.25">
      <c r="A29" s="18" t="s">
        <v>52</v>
      </c>
      <c r="B29" s="18" t="s">
        <v>71</v>
      </c>
      <c r="C29" s="18">
        <v>807</v>
      </c>
      <c r="D29" s="18">
        <v>5130</v>
      </c>
      <c r="E29" s="10">
        <v>262.11900000000003</v>
      </c>
      <c r="F29" s="9">
        <f>E29/C29+1</f>
        <v>1.3248066914498142</v>
      </c>
      <c r="G29" s="8">
        <f>E29/D29</f>
        <v>5.1095321637426909E-2</v>
      </c>
      <c r="H29" s="101">
        <f>D29-E29</f>
        <v>4867.8810000000003</v>
      </c>
    </row>
    <row r="30" spans="1:8" s="19" customFormat="1" ht="15.75" x14ac:dyDescent="0.25">
      <c r="A30" s="18" t="s">
        <v>42</v>
      </c>
      <c r="B30" s="18" t="s">
        <v>119</v>
      </c>
      <c r="C30" s="18">
        <v>169</v>
      </c>
      <c r="D30" s="18">
        <v>2795</v>
      </c>
      <c r="E30" s="10">
        <v>98.407499999999999</v>
      </c>
      <c r="F30" s="9">
        <f>E30/C30+2.2</f>
        <v>2.7822928994082843</v>
      </c>
      <c r="G30" s="8">
        <f>E30/D30</f>
        <v>3.5208407871198569E-2</v>
      </c>
      <c r="H30" s="101">
        <f>D30-E30</f>
        <v>2696.5925000000002</v>
      </c>
    </row>
    <row r="31" spans="1:8" ht="15.75" x14ac:dyDescent="0.25">
      <c r="A31" s="18" t="s">
        <v>50</v>
      </c>
      <c r="B31" s="18" t="s">
        <v>119</v>
      </c>
      <c r="C31" s="18">
        <v>119</v>
      </c>
      <c r="D31" s="18">
        <v>2518</v>
      </c>
      <c r="E31" s="10">
        <v>59.998500000000007</v>
      </c>
      <c r="F31" s="9">
        <f>E31/C31+3.7</f>
        <v>4.2041890756302527</v>
      </c>
      <c r="G31" s="88">
        <f>E31/D31</f>
        <v>2.3827839555202544E-2</v>
      </c>
      <c r="H31" s="101">
        <f>D31-E31</f>
        <v>2458.0014999999999</v>
      </c>
    </row>
  </sheetData>
  <sortState xmlns:xlrd2="http://schemas.microsoft.com/office/spreadsheetml/2017/richdata2" ref="A2:H31">
    <sortCondition descending="1" ref="H1:H3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4A02-C8FC-4F9D-A332-137CEB064004}">
  <dimension ref="A1:H31"/>
  <sheetViews>
    <sheetView zoomScale="106" zoomScaleNormal="106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8.85546875" bestFit="1" customWidth="1"/>
    <col min="2" max="2" width="25.140625" bestFit="1" customWidth="1"/>
    <col min="3" max="3" width="14.85546875" bestFit="1" customWidth="1"/>
    <col min="4" max="4" width="17.85546875" bestFit="1" customWidth="1"/>
    <col min="5" max="5" width="14.85546875" bestFit="1" customWidth="1"/>
    <col min="6" max="6" width="11.85546875" bestFit="1" customWidth="1"/>
    <col min="8" max="8" width="12" style="19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100" t="s">
        <v>159</v>
      </c>
    </row>
    <row r="2" spans="1:8" x14ac:dyDescent="0.25">
      <c r="A2" s="33" t="s">
        <v>129</v>
      </c>
      <c r="B2" s="33" t="s">
        <v>145</v>
      </c>
      <c r="C2" s="33">
        <v>29855</v>
      </c>
      <c r="D2" s="33">
        <v>621171</v>
      </c>
      <c r="E2" s="69">
        <v>42317.275180000004</v>
      </c>
      <c r="F2" s="34">
        <v>5.1174267352202314</v>
      </c>
      <c r="G2" s="70">
        <v>6.8125001295939444E-2</v>
      </c>
      <c r="H2" s="106">
        <f>D2-E2</f>
        <v>578853.72482</v>
      </c>
    </row>
    <row r="3" spans="1:8" ht="15.75" x14ac:dyDescent="0.25">
      <c r="A3" s="4" t="s">
        <v>13</v>
      </c>
      <c r="B3" s="4" t="s">
        <v>29</v>
      </c>
      <c r="C3" s="4">
        <v>3429</v>
      </c>
      <c r="D3" s="4">
        <v>67384</v>
      </c>
      <c r="E3" s="10">
        <v>7968.6000000000013</v>
      </c>
      <c r="F3" s="9">
        <f>E3/C3+0.1</f>
        <v>2.423884514435696</v>
      </c>
      <c r="G3" s="8">
        <f>E3/D3</f>
        <v>0.118256559420634</v>
      </c>
      <c r="H3" s="101">
        <f>D3-E3</f>
        <v>59415.4</v>
      </c>
    </row>
    <row r="4" spans="1:8" ht="15.75" x14ac:dyDescent="0.25">
      <c r="A4" s="4" t="s">
        <v>7</v>
      </c>
      <c r="B4" s="4" t="s">
        <v>70</v>
      </c>
      <c r="C4" s="4">
        <v>2130</v>
      </c>
      <c r="D4" s="4">
        <v>46395</v>
      </c>
      <c r="E4" s="10">
        <v>835.42500000000007</v>
      </c>
      <c r="F4" s="9">
        <f>E4/C4+1</f>
        <v>1.392218309859155</v>
      </c>
      <c r="G4" s="8">
        <f>E4/D4</f>
        <v>1.8006789524733269E-2</v>
      </c>
      <c r="H4" s="101">
        <f>D4-E4</f>
        <v>45559.574999999997</v>
      </c>
    </row>
    <row r="5" spans="1:8" ht="15.75" x14ac:dyDescent="0.25">
      <c r="A5" s="4" t="s">
        <v>11</v>
      </c>
      <c r="B5" s="4" t="s">
        <v>70</v>
      </c>
      <c r="C5" s="4">
        <v>1784</v>
      </c>
      <c r="D5" s="4">
        <v>39787</v>
      </c>
      <c r="E5" s="10">
        <v>415.49760000000003</v>
      </c>
      <c r="F5" s="9">
        <f>E5/C5+1.9</f>
        <v>2.1329022421524662</v>
      </c>
      <c r="G5" s="8">
        <f>E5/D5</f>
        <v>1.0443049237188027E-2</v>
      </c>
      <c r="H5" s="101">
        <f>D5-E5</f>
        <v>39371.502399999998</v>
      </c>
    </row>
    <row r="6" spans="1:8" ht="15.75" x14ac:dyDescent="0.25">
      <c r="A6" s="4" t="s">
        <v>15</v>
      </c>
      <c r="B6" s="4" t="s">
        <v>70</v>
      </c>
      <c r="C6" s="4">
        <v>1768</v>
      </c>
      <c r="D6" s="4">
        <v>39482</v>
      </c>
      <c r="E6" s="10">
        <v>483.95648</v>
      </c>
      <c r="F6" s="9">
        <f>E6/C6+3</f>
        <v>3.2737310407239821</v>
      </c>
      <c r="G6" s="8">
        <f>E6/D6</f>
        <v>1.225764854870574E-2</v>
      </c>
      <c r="H6" s="101">
        <f>D6-E6</f>
        <v>38998.043519999999</v>
      </c>
    </row>
    <row r="7" spans="1:8" ht="15.75" x14ac:dyDescent="0.25">
      <c r="A7" s="4" t="s">
        <v>24</v>
      </c>
      <c r="B7" s="4" t="s">
        <v>29</v>
      </c>
      <c r="C7" s="4">
        <v>2018</v>
      </c>
      <c r="D7" s="4">
        <v>40925</v>
      </c>
      <c r="E7" s="10">
        <v>3249.0720000000001</v>
      </c>
      <c r="F7" s="9">
        <f>E7/C7+0.1</f>
        <v>1.7100455896927653</v>
      </c>
      <c r="G7" s="8">
        <f>E7/D7</f>
        <v>7.939088576664631E-2</v>
      </c>
      <c r="H7" s="101">
        <f>D7-E7</f>
        <v>37675.928</v>
      </c>
    </row>
    <row r="8" spans="1:8" ht="15.75" x14ac:dyDescent="0.25">
      <c r="A8" s="4" t="s">
        <v>44</v>
      </c>
      <c r="B8" s="4" t="s">
        <v>70</v>
      </c>
      <c r="C8" s="4">
        <v>1534</v>
      </c>
      <c r="D8" s="4">
        <v>34310</v>
      </c>
      <c r="E8" s="10">
        <v>539.1</v>
      </c>
      <c r="F8" s="9">
        <f>E8/C8+0.8</f>
        <v>1.1514341590612778</v>
      </c>
      <c r="G8" s="8">
        <f>E8/D8</f>
        <v>1.5712620227338971E-2</v>
      </c>
      <c r="H8" s="101">
        <f>D8-E8</f>
        <v>33770.9</v>
      </c>
    </row>
    <row r="9" spans="1:8" ht="15.75" x14ac:dyDescent="0.25">
      <c r="A9" s="4" t="s">
        <v>17</v>
      </c>
      <c r="B9" s="4" t="s">
        <v>29</v>
      </c>
      <c r="C9" s="4">
        <v>1751</v>
      </c>
      <c r="D9" s="4">
        <v>33143</v>
      </c>
      <c r="E9" s="10">
        <v>2080.6920000000005</v>
      </c>
      <c r="F9" s="9">
        <f>E9/C9+0.1</f>
        <v>1.2882878355225589</v>
      </c>
      <c r="G9" s="8">
        <f>E9/D9</f>
        <v>6.2779229399873293E-2</v>
      </c>
      <c r="H9" s="101">
        <f>D9-E9</f>
        <v>31062.308000000001</v>
      </c>
    </row>
    <row r="10" spans="1:8" ht="15.75" x14ac:dyDescent="0.25">
      <c r="A10" s="4" t="s">
        <v>12</v>
      </c>
      <c r="B10" s="4" t="s">
        <v>124</v>
      </c>
      <c r="C10" s="4">
        <v>1488</v>
      </c>
      <c r="D10" s="4">
        <v>33466</v>
      </c>
      <c r="E10" s="10">
        <v>3695.3519999999999</v>
      </c>
      <c r="F10" s="9">
        <f>E10/C10+1.5</f>
        <v>3.9834354838709678</v>
      </c>
      <c r="G10" s="8">
        <f>E10/D10</f>
        <v>0.11042108408534033</v>
      </c>
      <c r="H10" s="101">
        <f>D10-E10</f>
        <v>29770.648000000001</v>
      </c>
    </row>
    <row r="11" spans="1:8" ht="15.75" x14ac:dyDescent="0.25">
      <c r="A11" s="4" t="s">
        <v>6</v>
      </c>
      <c r="B11" s="4" t="s">
        <v>29</v>
      </c>
      <c r="C11" s="4">
        <v>1842</v>
      </c>
      <c r="D11" s="4">
        <v>29413</v>
      </c>
      <c r="E11" s="10">
        <v>2935.1519999999996</v>
      </c>
      <c r="F11" s="9">
        <f>E11/C11+0.1</f>
        <v>1.6934592833876221</v>
      </c>
      <c r="G11" s="8">
        <f>E11/D11</f>
        <v>9.9790976778975263E-2</v>
      </c>
      <c r="H11" s="101">
        <f>D11-E11</f>
        <v>26477.848000000002</v>
      </c>
    </row>
    <row r="12" spans="1:8" ht="15.75" x14ac:dyDescent="0.25">
      <c r="A12" s="4" t="s">
        <v>16</v>
      </c>
      <c r="B12" s="4" t="s">
        <v>29</v>
      </c>
      <c r="C12" s="4">
        <v>1368</v>
      </c>
      <c r="D12" s="4">
        <v>27304</v>
      </c>
      <c r="E12" s="10">
        <v>2976.3359999999998</v>
      </c>
      <c r="F12" s="9">
        <f>E12/C12+0.1</f>
        <v>2.2756842105263155</v>
      </c>
      <c r="G12" s="8">
        <f>E12/D12</f>
        <v>0.10900732493407558</v>
      </c>
      <c r="H12" s="101">
        <f>D12-E12</f>
        <v>24327.664000000001</v>
      </c>
    </row>
    <row r="13" spans="1:8" ht="15.75" x14ac:dyDescent="0.25">
      <c r="A13" s="4" t="s">
        <v>59</v>
      </c>
      <c r="B13" s="4" t="s">
        <v>70</v>
      </c>
      <c r="C13" s="4">
        <v>1087</v>
      </c>
      <c r="D13" s="4">
        <v>23603</v>
      </c>
      <c r="E13" s="10">
        <v>357.75000000000006</v>
      </c>
      <c r="F13" s="9">
        <f>E13/C13+1.3</f>
        <v>1.629116835326587</v>
      </c>
      <c r="G13" s="8">
        <f>E13/D13</f>
        <v>1.5156971571410415E-2</v>
      </c>
      <c r="H13" s="101">
        <f>D13-E13</f>
        <v>23245.25</v>
      </c>
    </row>
    <row r="14" spans="1:8" ht="15.75" x14ac:dyDescent="0.25">
      <c r="A14" s="4" t="s">
        <v>47</v>
      </c>
      <c r="B14" s="4" t="s">
        <v>70</v>
      </c>
      <c r="C14" s="4">
        <v>1024</v>
      </c>
      <c r="D14" s="4">
        <v>22854</v>
      </c>
      <c r="E14" s="10">
        <v>360.67500000000001</v>
      </c>
      <c r="F14" s="9">
        <f>E14/C14+1.1</f>
        <v>1.4522216796875</v>
      </c>
      <c r="G14" s="8">
        <f>E14/D14</f>
        <v>1.5781701233919664E-2</v>
      </c>
      <c r="H14" s="101">
        <f>D14-E14</f>
        <v>22493.325000000001</v>
      </c>
    </row>
    <row r="15" spans="1:8" ht="15.75" x14ac:dyDescent="0.25">
      <c r="A15" s="4" t="s">
        <v>55</v>
      </c>
      <c r="B15" s="4" t="s">
        <v>70</v>
      </c>
      <c r="C15" s="4">
        <v>1007</v>
      </c>
      <c r="D15" s="4">
        <v>22089</v>
      </c>
      <c r="E15" s="10">
        <v>372.26250000000005</v>
      </c>
      <c r="F15" s="9">
        <f>E15/C15+1.9</f>
        <v>2.2696747765640515</v>
      </c>
      <c r="G15" s="8">
        <f>E15/D15</f>
        <v>1.6852845307619178E-2</v>
      </c>
      <c r="H15" s="101">
        <f>D15-E15</f>
        <v>21716.737499999999</v>
      </c>
    </row>
    <row r="16" spans="1:8" ht="15.75" x14ac:dyDescent="0.25">
      <c r="A16" s="4" t="s">
        <v>22</v>
      </c>
      <c r="B16" s="4" t="s">
        <v>70</v>
      </c>
      <c r="C16" s="4">
        <v>1037</v>
      </c>
      <c r="D16" s="4">
        <v>20139</v>
      </c>
      <c r="E16" s="10">
        <v>486.00000000000006</v>
      </c>
      <c r="F16" s="9">
        <f>E16/C16+1.6</f>
        <v>2.0686595949855353</v>
      </c>
      <c r="G16" s="8">
        <f>E16/D16</f>
        <v>2.4132280649486075E-2</v>
      </c>
      <c r="H16" s="101">
        <f>D16-E16</f>
        <v>19653</v>
      </c>
    </row>
    <row r="17" spans="1:8" ht="15.75" x14ac:dyDescent="0.25">
      <c r="A17" s="4" t="s">
        <v>18</v>
      </c>
      <c r="B17" s="4" t="s">
        <v>124</v>
      </c>
      <c r="C17" s="4">
        <v>1064</v>
      </c>
      <c r="D17" s="4">
        <v>20603</v>
      </c>
      <c r="E17" s="10">
        <v>2120.9664000000002</v>
      </c>
      <c r="F17" s="9">
        <f>E17/C17+1.1</f>
        <v>3.0933894736842111</v>
      </c>
      <c r="G17" s="8">
        <f>E17/D17</f>
        <v>0.102944542056982</v>
      </c>
      <c r="H17" s="101">
        <f>D17-E17</f>
        <v>18482.033599999999</v>
      </c>
    </row>
    <row r="18" spans="1:8" ht="15.75" x14ac:dyDescent="0.25">
      <c r="A18" s="4" t="s">
        <v>31</v>
      </c>
      <c r="B18" s="4" t="s">
        <v>124</v>
      </c>
      <c r="C18" s="4">
        <v>967</v>
      </c>
      <c r="D18" s="4">
        <v>21541</v>
      </c>
      <c r="E18" s="10">
        <v>3342.8159999999998</v>
      </c>
      <c r="F18" s="9">
        <f>E18/C18+1.9</f>
        <v>5.3568934850051697</v>
      </c>
      <c r="G18" s="8">
        <f>E18/D18</f>
        <v>0.15518388189963325</v>
      </c>
      <c r="H18" s="101">
        <f>D18-E18</f>
        <v>18198.184000000001</v>
      </c>
    </row>
    <row r="19" spans="1:8" ht="15.75" x14ac:dyDescent="0.25">
      <c r="A19" s="4" t="s">
        <v>9</v>
      </c>
      <c r="B19" s="4" t="s">
        <v>70</v>
      </c>
      <c r="C19" s="4">
        <v>809</v>
      </c>
      <c r="D19" s="4">
        <v>17845</v>
      </c>
      <c r="E19" s="10">
        <v>250.42499999999998</v>
      </c>
      <c r="F19" s="9">
        <f>E19/C19+2.1</f>
        <v>2.409548825710754</v>
      </c>
      <c r="G19" s="8">
        <f>E19/D19</f>
        <v>1.4033342673017651E-2</v>
      </c>
      <c r="H19" s="101">
        <f>D19-E19</f>
        <v>17594.575000000001</v>
      </c>
    </row>
    <row r="20" spans="1:8" ht="15.75" x14ac:dyDescent="0.25">
      <c r="A20" s="4" t="s">
        <v>74</v>
      </c>
      <c r="B20" s="4" t="s">
        <v>70</v>
      </c>
      <c r="C20" s="4">
        <v>684</v>
      </c>
      <c r="D20" s="4">
        <v>14292</v>
      </c>
      <c r="E20" s="10">
        <v>336.375</v>
      </c>
      <c r="F20" s="9">
        <f>E20/C20+1.8</f>
        <v>2.2917763157894737</v>
      </c>
      <c r="G20" s="8">
        <f>E20/D20</f>
        <v>2.353589420654912E-2</v>
      </c>
      <c r="H20" s="101">
        <f>D20-E20</f>
        <v>13955.625</v>
      </c>
    </row>
    <row r="21" spans="1:8" ht="15.75" x14ac:dyDescent="0.25">
      <c r="A21" s="4" t="s">
        <v>35</v>
      </c>
      <c r="B21" s="4" t="s">
        <v>124</v>
      </c>
      <c r="C21" s="4">
        <v>611</v>
      </c>
      <c r="D21" s="4">
        <v>13626</v>
      </c>
      <c r="E21" s="10">
        <v>1623.7776000000001</v>
      </c>
      <c r="F21" s="9">
        <f>E21/C21+1.9</f>
        <v>4.5575738134206221</v>
      </c>
      <c r="G21" s="8">
        <f>E21/D21</f>
        <v>0.11916759136944079</v>
      </c>
      <c r="H21" s="101">
        <f>D21-E21</f>
        <v>12002.222400000001</v>
      </c>
    </row>
    <row r="22" spans="1:8" ht="15.75" x14ac:dyDescent="0.25">
      <c r="A22" s="4" t="s">
        <v>41</v>
      </c>
      <c r="B22" s="4" t="s">
        <v>124</v>
      </c>
      <c r="C22" s="4">
        <v>458</v>
      </c>
      <c r="D22" s="4">
        <v>10005</v>
      </c>
      <c r="E22" s="10">
        <v>1257.4223999999999</v>
      </c>
      <c r="F22" s="9">
        <f>E22/C22+2.3</f>
        <v>5.0454637554585151</v>
      </c>
      <c r="G22" s="8">
        <f>E22/D22</f>
        <v>0.12567940029985006</v>
      </c>
      <c r="H22" s="101">
        <f>D22-E22</f>
        <v>8747.5776000000005</v>
      </c>
    </row>
    <row r="23" spans="1:8" ht="15.75" x14ac:dyDescent="0.25">
      <c r="A23" s="4" t="s">
        <v>39</v>
      </c>
      <c r="B23" s="4" t="s">
        <v>124</v>
      </c>
      <c r="C23" s="4">
        <v>347</v>
      </c>
      <c r="D23" s="4">
        <v>7380</v>
      </c>
      <c r="E23" s="10">
        <v>943.08479999999997</v>
      </c>
      <c r="F23" s="9">
        <f>E23/C23+1.3</f>
        <v>4.0178236311239193</v>
      </c>
      <c r="G23" s="8">
        <f>E23/D23</f>
        <v>0.12778926829268292</v>
      </c>
      <c r="H23" s="101">
        <f>D23-E23</f>
        <v>6436.9152000000004</v>
      </c>
    </row>
    <row r="24" spans="1:8" ht="15.75" x14ac:dyDescent="0.25">
      <c r="A24" s="4" t="s">
        <v>52</v>
      </c>
      <c r="B24" s="4" t="s">
        <v>70</v>
      </c>
      <c r="C24" s="4">
        <v>257</v>
      </c>
      <c r="D24" s="4">
        <v>5653</v>
      </c>
      <c r="E24" s="10">
        <v>242.32500000000002</v>
      </c>
      <c r="F24" s="9">
        <f>E24/C24+1</f>
        <v>1.9428988326848251</v>
      </c>
      <c r="G24" s="8">
        <f>E24/D24</f>
        <v>4.2866619494073943E-2</v>
      </c>
      <c r="H24" s="101">
        <f>D24-E24</f>
        <v>5410.6750000000002</v>
      </c>
    </row>
    <row r="25" spans="1:8" ht="15.75" x14ac:dyDescent="0.25">
      <c r="A25" s="4" t="s">
        <v>19</v>
      </c>
      <c r="B25" s="4" t="s">
        <v>70</v>
      </c>
      <c r="C25" s="4">
        <v>246</v>
      </c>
      <c r="D25" s="4">
        <v>5394</v>
      </c>
      <c r="E25" s="10">
        <v>812.75</v>
      </c>
      <c r="F25" s="9">
        <f>E25/C25+1.4</f>
        <v>4.7038617886178855</v>
      </c>
      <c r="G25" s="8">
        <f>E25/D25</f>
        <v>0.15067667779013719</v>
      </c>
      <c r="H25" s="101">
        <f>D25-E25</f>
        <v>4581.25</v>
      </c>
    </row>
    <row r="26" spans="1:8" ht="15.75" x14ac:dyDescent="0.25">
      <c r="A26" s="4" t="s">
        <v>54</v>
      </c>
      <c r="B26" s="4" t="s">
        <v>124</v>
      </c>
      <c r="C26" s="4">
        <v>221</v>
      </c>
      <c r="D26" s="4">
        <v>4735</v>
      </c>
      <c r="E26" s="10">
        <v>342.01440000000002</v>
      </c>
      <c r="F26" s="9">
        <f>E26/C26+2.7</f>
        <v>4.2475764705882355</v>
      </c>
      <c r="G26" s="8">
        <f>E26/D26</f>
        <v>7.2231129883843725E-2</v>
      </c>
      <c r="H26" s="101">
        <f>D26-E26</f>
        <v>4392.9856</v>
      </c>
    </row>
    <row r="27" spans="1:8" ht="15.75" x14ac:dyDescent="0.25">
      <c r="A27" s="4" t="s">
        <v>21</v>
      </c>
      <c r="B27" s="4" t="s">
        <v>124</v>
      </c>
      <c r="C27" s="4">
        <v>235</v>
      </c>
      <c r="D27" s="4">
        <v>5337</v>
      </c>
      <c r="E27" s="10">
        <v>1350.8400000000001</v>
      </c>
      <c r="F27" s="9">
        <f>E27/C27+2.7</f>
        <v>8.448255319148938</v>
      </c>
      <c r="G27" s="8">
        <f>E27/D27</f>
        <v>0.25310848791455876</v>
      </c>
      <c r="H27" s="101">
        <f>D27-E27</f>
        <v>3986.16</v>
      </c>
    </row>
    <row r="28" spans="1:8" ht="15.75" x14ac:dyDescent="0.25">
      <c r="A28" s="4" t="s">
        <v>20</v>
      </c>
      <c r="B28" s="4" t="s">
        <v>124</v>
      </c>
      <c r="C28" s="4">
        <v>235</v>
      </c>
      <c r="D28" s="4">
        <v>5140</v>
      </c>
      <c r="E28" s="10">
        <v>1294.6272000000001</v>
      </c>
      <c r="F28" s="9">
        <f>E28/C28+1.8</f>
        <v>7.3090519148936171</v>
      </c>
      <c r="G28" s="8">
        <f>E28/D28</f>
        <v>0.25187299610894942</v>
      </c>
      <c r="H28" s="101">
        <f>D28-E28</f>
        <v>3845.3728000000001</v>
      </c>
    </row>
    <row r="29" spans="1:8" ht="15.75" x14ac:dyDescent="0.25">
      <c r="A29" s="4" t="s">
        <v>8</v>
      </c>
      <c r="B29" s="4" t="s">
        <v>124</v>
      </c>
      <c r="C29" s="4">
        <v>179</v>
      </c>
      <c r="D29" s="4">
        <v>3937</v>
      </c>
      <c r="E29" s="10">
        <v>302.2512000000001</v>
      </c>
      <c r="F29" s="9">
        <f>E29/C29+4</f>
        <v>5.688554189944135</v>
      </c>
      <c r="G29" s="8">
        <f>E29/D29</f>
        <v>7.6771958343916716E-2</v>
      </c>
      <c r="H29" s="101">
        <f>D29-E29</f>
        <v>3634.7487999999998</v>
      </c>
    </row>
    <row r="30" spans="1:8" ht="15.75" x14ac:dyDescent="0.25">
      <c r="A30" s="4" t="s">
        <v>42</v>
      </c>
      <c r="B30" s="4" t="s">
        <v>124</v>
      </c>
      <c r="C30" s="4">
        <v>166</v>
      </c>
      <c r="D30" s="4">
        <v>3235</v>
      </c>
      <c r="E30" s="10">
        <v>921.7296</v>
      </c>
      <c r="F30" s="9">
        <f>E30/C30+2.2</f>
        <v>7.7525879518072287</v>
      </c>
      <c r="G30" s="8">
        <f>E30/D30</f>
        <v>0.28492414219474499</v>
      </c>
      <c r="H30" s="101">
        <f>D30-E30</f>
        <v>2313.2703999999999</v>
      </c>
    </row>
    <row r="31" spans="1:8" ht="15.75" x14ac:dyDescent="0.25">
      <c r="A31" s="4" t="s">
        <v>40</v>
      </c>
      <c r="B31" s="4" t="s">
        <v>124</v>
      </c>
      <c r="C31" s="4">
        <v>109</v>
      </c>
      <c r="D31" s="4">
        <v>2154</v>
      </c>
      <c r="E31" s="10">
        <v>420</v>
      </c>
      <c r="F31" s="9">
        <f>E31/C31+2.6</f>
        <v>6.4532110091743125</v>
      </c>
      <c r="G31" s="8">
        <f>E31/D31</f>
        <v>0.19498607242339833</v>
      </c>
      <c r="H31" s="101">
        <f>D31-E31</f>
        <v>1734</v>
      </c>
    </row>
  </sheetData>
  <sortState xmlns:xlrd2="http://schemas.microsoft.com/office/spreadsheetml/2017/richdata2" ref="A2:H31">
    <sortCondition descending="1" ref="H1:H31"/>
  </sortState>
  <conditionalFormatting sqref="G2:G31">
    <cfRule type="cellIs" dxfId="7" priority="1" operator="greaterThan">
      <formula>0.1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D9D0-1D15-47B5-977E-46E73DC7B547}">
  <dimension ref="A1:H29"/>
  <sheetViews>
    <sheetView zoomScale="106" zoomScaleNormal="106" workbookViewId="0">
      <pane ySplit="1" topLeftCell="A2" activePane="bottomLeft" state="frozen"/>
      <selection pane="bottomLeft" activeCell="K35" sqref="K35"/>
    </sheetView>
  </sheetViews>
  <sheetFormatPr defaultRowHeight="15" x14ac:dyDescent="0.25"/>
  <cols>
    <col min="1" max="1" width="18.85546875" bestFit="1" customWidth="1"/>
    <col min="2" max="2" width="22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  <col min="8" max="8" width="12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x14ac:dyDescent="0.25">
      <c r="A2" s="71" t="s">
        <v>129</v>
      </c>
      <c r="B2" s="71" t="s">
        <v>146</v>
      </c>
      <c r="C2" s="71">
        <v>15991</v>
      </c>
      <c r="D2" s="71">
        <v>306218</v>
      </c>
      <c r="E2" s="71">
        <v>14922</v>
      </c>
      <c r="F2" s="72">
        <v>2.1331498968169598</v>
      </c>
      <c r="G2" s="73">
        <v>4.8729989745867321E-2</v>
      </c>
      <c r="H2" s="107">
        <f>D2-E2</f>
        <v>291296</v>
      </c>
    </row>
    <row r="3" spans="1:8" ht="15.75" x14ac:dyDescent="0.25">
      <c r="A3" s="3" t="s">
        <v>13</v>
      </c>
      <c r="B3" s="3" t="s">
        <v>26</v>
      </c>
      <c r="C3" s="3">
        <v>2468</v>
      </c>
      <c r="D3" s="3">
        <v>51618</v>
      </c>
      <c r="E3" s="3">
        <v>2641</v>
      </c>
      <c r="F3" s="9">
        <f>E3/C3+0.1</f>
        <v>1.170097244732577</v>
      </c>
      <c r="G3" s="8">
        <f>E3/D3</f>
        <v>5.116432252315084E-2</v>
      </c>
      <c r="H3" s="96">
        <f>D3-E3</f>
        <v>48977</v>
      </c>
    </row>
    <row r="4" spans="1:8" ht="15.75" x14ac:dyDescent="0.25">
      <c r="A4" s="3" t="s">
        <v>7</v>
      </c>
      <c r="B4" s="3" t="s">
        <v>73</v>
      </c>
      <c r="C4" s="3">
        <v>1287</v>
      </c>
      <c r="D4" s="3">
        <v>27222</v>
      </c>
      <c r="E4" s="3">
        <v>877</v>
      </c>
      <c r="F4" s="9">
        <f>E4/C4+1</f>
        <v>1.6814296814296814</v>
      </c>
      <c r="G4" s="8">
        <f>E4/D4</f>
        <v>3.2216589523179781E-2</v>
      </c>
      <c r="H4" s="96">
        <f>D4-E4</f>
        <v>26345</v>
      </c>
    </row>
    <row r="5" spans="1:8" ht="15.75" x14ac:dyDescent="0.25">
      <c r="A5" s="3" t="s">
        <v>15</v>
      </c>
      <c r="B5" s="3" t="s">
        <v>73</v>
      </c>
      <c r="C5" s="3">
        <v>839</v>
      </c>
      <c r="D5" s="3">
        <v>18500</v>
      </c>
      <c r="E5" s="3">
        <v>666</v>
      </c>
      <c r="F5" s="9">
        <f>E5/C5+3</f>
        <v>3.7938021454112039</v>
      </c>
      <c r="G5" s="8">
        <f>E5/D5</f>
        <v>3.5999999999999997E-2</v>
      </c>
      <c r="H5" s="96">
        <f>D5-E5</f>
        <v>17834</v>
      </c>
    </row>
    <row r="6" spans="1:8" ht="15.75" x14ac:dyDescent="0.25">
      <c r="A6" s="3" t="s">
        <v>11</v>
      </c>
      <c r="B6" s="3" t="s">
        <v>73</v>
      </c>
      <c r="C6" s="3">
        <v>853</v>
      </c>
      <c r="D6" s="3">
        <v>18392</v>
      </c>
      <c r="E6" s="3">
        <v>705</v>
      </c>
      <c r="F6" s="9">
        <f>E6/C6+1.9</f>
        <v>2.7264947245017583</v>
      </c>
      <c r="G6" s="8">
        <f>E6/D6</f>
        <v>3.8331883427577207E-2</v>
      </c>
      <c r="H6" s="96">
        <f>D6-E6</f>
        <v>17687</v>
      </c>
    </row>
    <row r="7" spans="1:8" ht="15.75" x14ac:dyDescent="0.25">
      <c r="A7" s="3" t="s">
        <v>24</v>
      </c>
      <c r="B7" s="3" t="s">
        <v>26</v>
      </c>
      <c r="C7" s="3">
        <v>930</v>
      </c>
      <c r="D7" s="3">
        <v>18232</v>
      </c>
      <c r="E7" s="3">
        <v>1249</v>
      </c>
      <c r="F7" s="9">
        <f>E7/C7+0.1</f>
        <v>1.4430107526881721</v>
      </c>
      <c r="G7" s="8">
        <f>E7/D7</f>
        <v>6.8505923650723999E-2</v>
      </c>
      <c r="H7" s="96">
        <f>D7-E7</f>
        <v>16983</v>
      </c>
    </row>
    <row r="8" spans="1:8" ht="15.75" x14ac:dyDescent="0.25">
      <c r="A8" s="3" t="s">
        <v>47</v>
      </c>
      <c r="B8" s="3" t="s">
        <v>73</v>
      </c>
      <c r="C8" s="3">
        <v>790</v>
      </c>
      <c r="D8" s="3">
        <v>15222</v>
      </c>
      <c r="E8" s="3">
        <v>407</v>
      </c>
      <c r="F8" s="9">
        <f>E8/C8+1.1</f>
        <v>1.6151898734177217</v>
      </c>
      <c r="G8" s="8">
        <f>E8/D8</f>
        <v>2.6737616607541717E-2</v>
      </c>
      <c r="H8" s="96">
        <f>D8-E8</f>
        <v>14815</v>
      </c>
    </row>
    <row r="9" spans="1:8" ht="15.75" x14ac:dyDescent="0.25">
      <c r="A9" s="3" t="s">
        <v>12</v>
      </c>
      <c r="B9" s="3" t="s">
        <v>123</v>
      </c>
      <c r="C9" s="3">
        <v>803</v>
      </c>
      <c r="D9" s="3">
        <v>14827</v>
      </c>
      <c r="E9" s="3">
        <v>273</v>
      </c>
      <c r="F9" s="9">
        <f>E9/C9+1.5</f>
        <v>1.839975093399751</v>
      </c>
      <c r="G9" s="8">
        <f>E9/D9</f>
        <v>1.8412355837323802E-2</v>
      </c>
      <c r="H9" s="96">
        <f>D9-E9</f>
        <v>14554</v>
      </c>
    </row>
    <row r="10" spans="1:8" ht="15.75" x14ac:dyDescent="0.25">
      <c r="A10" s="3" t="s">
        <v>59</v>
      </c>
      <c r="B10" s="3" t="s">
        <v>73</v>
      </c>
      <c r="C10" s="3">
        <v>702</v>
      </c>
      <c r="D10" s="3">
        <v>15062</v>
      </c>
      <c r="E10" s="3">
        <v>565</v>
      </c>
      <c r="F10" s="9">
        <f>E10/C10+1.3</f>
        <v>2.1048433048433051</v>
      </c>
      <c r="G10" s="8">
        <f>E10/D10</f>
        <v>3.7511618642942501E-2</v>
      </c>
      <c r="H10" s="96">
        <f>D10-E10</f>
        <v>14497</v>
      </c>
    </row>
    <row r="11" spans="1:8" ht="15.75" x14ac:dyDescent="0.25">
      <c r="A11" s="3" t="s">
        <v>6</v>
      </c>
      <c r="B11" s="3" t="s">
        <v>26</v>
      </c>
      <c r="C11" s="3">
        <v>680</v>
      </c>
      <c r="D11" s="3">
        <v>14555</v>
      </c>
      <c r="E11" s="3">
        <v>989</v>
      </c>
      <c r="F11" s="9">
        <f>E11/C11+0.1</f>
        <v>1.5544117647058824</v>
      </c>
      <c r="G11" s="8">
        <f>E11/D11</f>
        <v>6.7949158364823084E-2</v>
      </c>
      <c r="H11" s="96">
        <f>D11-E11</f>
        <v>13566</v>
      </c>
    </row>
    <row r="12" spans="1:8" ht="15.75" x14ac:dyDescent="0.25">
      <c r="A12" s="3" t="s">
        <v>44</v>
      </c>
      <c r="B12" s="3" t="s">
        <v>73</v>
      </c>
      <c r="C12" s="3">
        <v>628</v>
      </c>
      <c r="D12" s="3">
        <v>12053</v>
      </c>
      <c r="E12" s="3">
        <v>439</v>
      </c>
      <c r="F12" s="9">
        <f>E12/C12+0.8</f>
        <v>1.4990445859872612</v>
      </c>
      <c r="G12" s="8">
        <f>E12/D12</f>
        <v>3.6422467435493239E-2</v>
      </c>
      <c r="H12" s="96">
        <f>D12-E12</f>
        <v>11614</v>
      </c>
    </row>
    <row r="13" spans="1:8" ht="15.75" x14ac:dyDescent="0.25">
      <c r="A13" s="3" t="s">
        <v>18</v>
      </c>
      <c r="B13" s="3" t="s">
        <v>123</v>
      </c>
      <c r="C13" s="3">
        <v>550</v>
      </c>
      <c r="D13" s="3">
        <v>11076</v>
      </c>
      <c r="E13" s="3">
        <v>169</v>
      </c>
      <c r="F13" s="9">
        <f>E13/C13+1.1</f>
        <v>1.4072727272727272</v>
      </c>
      <c r="G13" s="8">
        <f>E13/D13</f>
        <v>1.5258215962441314E-2</v>
      </c>
      <c r="H13" s="96">
        <f>D13-E13</f>
        <v>10907</v>
      </c>
    </row>
    <row r="14" spans="1:8" ht="15.75" x14ac:dyDescent="0.25">
      <c r="A14" s="3" t="s">
        <v>17</v>
      </c>
      <c r="B14" s="3" t="s">
        <v>26</v>
      </c>
      <c r="C14" s="3">
        <v>877</v>
      </c>
      <c r="D14" s="3">
        <v>11861</v>
      </c>
      <c r="E14" s="3">
        <v>1523</v>
      </c>
      <c r="F14" s="9">
        <f>E14/C14+0.1</f>
        <v>1.8366020524515394</v>
      </c>
      <c r="G14" s="8">
        <f>E14/D14</f>
        <v>0.12840401315234803</v>
      </c>
      <c r="H14" s="96">
        <f>D14-E14</f>
        <v>10338</v>
      </c>
    </row>
    <row r="15" spans="1:8" ht="15.75" x14ac:dyDescent="0.25">
      <c r="A15" s="3" t="s">
        <v>74</v>
      </c>
      <c r="B15" s="3" t="s">
        <v>73</v>
      </c>
      <c r="C15" s="3">
        <v>685</v>
      </c>
      <c r="D15" s="3">
        <v>10224</v>
      </c>
      <c r="E15" s="3">
        <v>438</v>
      </c>
      <c r="F15" s="9">
        <f>E15/C15+1.8</f>
        <v>2.4394160583941606</v>
      </c>
      <c r="G15" s="8">
        <f>E15/D15</f>
        <v>4.2840375586854461E-2</v>
      </c>
      <c r="H15" s="96">
        <f>D15-E15</f>
        <v>9786</v>
      </c>
    </row>
    <row r="16" spans="1:8" ht="15.75" x14ac:dyDescent="0.25">
      <c r="A16" s="3" t="s">
        <v>55</v>
      </c>
      <c r="B16" s="3" t="s">
        <v>73</v>
      </c>
      <c r="C16" s="3">
        <v>595</v>
      </c>
      <c r="D16" s="3">
        <v>10151</v>
      </c>
      <c r="E16" s="3">
        <v>464</v>
      </c>
      <c r="F16" s="9">
        <f>E16/C16+1.9</f>
        <v>2.679831932773109</v>
      </c>
      <c r="G16" s="8">
        <f>E16/D16</f>
        <v>4.5709782287459366E-2</v>
      </c>
      <c r="H16" s="96">
        <f>D16-E16</f>
        <v>9687</v>
      </c>
    </row>
    <row r="17" spans="1:8" ht="15.75" x14ac:dyDescent="0.25">
      <c r="A17" s="3" t="s">
        <v>16</v>
      </c>
      <c r="B17" s="3" t="s">
        <v>26</v>
      </c>
      <c r="C17" s="3">
        <v>473</v>
      </c>
      <c r="D17" s="3">
        <v>10332</v>
      </c>
      <c r="E17" s="3">
        <v>1203</v>
      </c>
      <c r="F17" s="9">
        <f>E17/C17+0.1</f>
        <v>2.6433403805496831</v>
      </c>
      <c r="G17" s="8">
        <f>E17/D17</f>
        <v>0.11643437862950058</v>
      </c>
      <c r="H17" s="96">
        <f>D17-E17</f>
        <v>9129</v>
      </c>
    </row>
    <row r="18" spans="1:8" ht="15.75" x14ac:dyDescent="0.25">
      <c r="A18" s="3" t="s">
        <v>9</v>
      </c>
      <c r="B18" s="3" t="s">
        <v>73</v>
      </c>
      <c r="C18" s="3">
        <v>365</v>
      </c>
      <c r="D18" s="3">
        <v>7846</v>
      </c>
      <c r="E18" s="3">
        <v>293</v>
      </c>
      <c r="F18" s="9">
        <f>E18/C18+2.1</f>
        <v>2.9027397260273973</v>
      </c>
      <c r="G18" s="8">
        <f>E18/D18</f>
        <v>3.7343869487637016E-2</v>
      </c>
      <c r="H18" s="96">
        <f>D18-E18</f>
        <v>7553</v>
      </c>
    </row>
    <row r="19" spans="1:8" ht="15.75" x14ac:dyDescent="0.25">
      <c r="A19" s="3" t="s">
        <v>31</v>
      </c>
      <c r="B19" s="3" t="s">
        <v>123</v>
      </c>
      <c r="C19" s="3">
        <v>235</v>
      </c>
      <c r="D19" s="3">
        <v>4884</v>
      </c>
      <c r="E19" s="3">
        <v>421</v>
      </c>
      <c r="F19" s="9">
        <f>E19/C19+1.9</f>
        <v>3.6914893617021276</v>
      </c>
      <c r="G19" s="8">
        <f>E19/D19</f>
        <v>8.6199836199836205E-2</v>
      </c>
      <c r="H19" s="96">
        <f>D19-E19</f>
        <v>4463</v>
      </c>
    </row>
    <row r="20" spans="1:8" ht="15.75" x14ac:dyDescent="0.25">
      <c r="A20" s="3" t="s">
        <v>41</v>
      </c>
      <c r="B20" s="3" t="s">
        <v>123</v>
      </c>
      <c r="C20" s="3">
        <v>271</v>
      </c>
      <c r="D20" s="3">
        <v>4464</v>
      </c>
      <c r="E20" s="3">
        <v>135</v>
      </c>
      <c r="F20" s="9">
        <f>E20/C20+2.3</f>
        <v>2.7981549815498155</v>
      </c>
      <c r="G20" s="8">
        <f>E20/D20</f>
        <v>3.0241935483870969E-2</v>
      </c>
      <c r="H20" s="96">
        <f>D20-E20</f>
        <v>4329</v>
      </c>
    </row>
    <row r="21" spans="1:8" ht="15.75" x14ac:dyDescent="0.25">
      <c r="A21" s="3" t="s">
        <v>35</v>
      </c>
      <c r="B21" s="3" t="s">
        <v>123</v>
      </c>
      <c r="C21" s="3">
        <v>249</v>
      </c>
      <c r="D21" s="3">
        <v>4478</v>
      </c>
      <c r="E21" s="3">
        <v>155</v>
      </c>
      <c r="F21" s="9">
        <f>E21/C21+1.9</f>
        <v>2.5224899598393575</v>
      </c>
      <c r="G21" s="8">
        <f>E21/D21</f>
        <v>3.4613666815542656E-2</v>
      </c>
      <c r="H21" s="96">
        <f>D21-E21</f>
        <v>4323</v>
      </c>
    </row>
    <row r="22" spans="1:8" ht="15.75" x14ac:dyDescent="0.25">
      <c r="A22" s="3" t="s">
        <v>22</v>
      </c>
      <c r="B22" s="3" t="s">
        <v>73</v>
      </c>
      <c r="C22" s="3">
        <v>360</v>
      </c>
      <c r="D22" s="3">
        <v>4274</v>
      </c>
      <c r="E22" s="3">
        <v>377</v>
      </c>
      <c r="F22" s="9">
        <f>E22/C22+1.6</f>
        <v>2.6472222222222221</v>
      </c>
      <c r="G22" s="8">
        <f>E22/D22</f>
        <v>8.820776789892372E-2</v>
      </c>
      <c r="H22" s="96">
        <f>D22-E22</f>
        <v>3897</v>
      </c>
    </row>
    <row r="23" spans="1:8" ht="15.75" x14ac:dyDescent="0.25">
      <c r="A23" s="3" t="s">
        <v>54</v>
      </c>
      <c r="B23" s="3" t="s">
        <v>123</v>
      </c>
      <c r="C23" s="3">
        <v>183</v>
      </c>
      <c r="D23" s="3">
        <v>3585</v>
      </c>
      <c r="E23" s="3">
        <v>63</v>
      </c>
      <c r="F23" s="9">
        <f>E23/C23+2.7</f>
        <v>3.0442622950819676</v>
      </c>
      <c r="G23" s="8">
        <f>E23/D23</f>
        <v>1.7573221757322177E-2</v>
      </c>
      <c r="H23" s="96">
        <f>D23-E23</f>
        <v>3522</v>
      </c>
    </row>
    <row r="24" spans="1:8" ht="15.75" x14ac:dyDescent="0.25">
      <c r="A24" s="3" t="s">
        <v>21</v>
      </c>
      <c r="B24" s="3" t="s">
        <v>123</v>
      </c>
      <c r="C24" s="3">
        <v>217</v>
      </c>
      <c r="D24" s="3">
        <v>3408</v>
      </c>
      <c r="E24" s="3">
        <v>51</v>
      </c>
      <c r="F24" s="9">
        <f>E24/C24+2.7</f>
        <v>2.9350230414746545</v>
      </c>
      <c r="G24" s="8">
        <f>E24/D24</f>
        <v>1.4964788732394365E-2</v>
      </c>
      <c r="H24" s="96">
        <f>D24-E24</f>
        <v>3357</v>
      </c>
    </row>
    <row r="25" spans="1:8" ht="15.75" x14ac:dyDescent="0.25">
      <c r="A25" s="3" t="s">
        <v>39</v>
      </c>
      <c r="B25" s="3" t="s">
        <v>123</v>
      </c>
      <c r="C25" s="3">
        <v>232</v>
      </c>
      <c r="D25" s="3">
        <v>3471</v>
      </c>
      <c r="E25" s="3">
        <v>158</v>
      </c>
      <c r="F25" s="9">
        <f>E25/C25+1.3</f>
        <v>1.9810344827586208</v>
      </c>
      <c r="G25" s="8">
        <f>E25/D25</f>
        <v>4.5520023048112937E-2</v>
      </c>
      <c r="H25" s="96">
        <f>D25-E25</f>
        <v>3313</v>
      </c>
    </row>
    <row r="26" spans="1:8" ht="15.75" x14ac:dyDescent="0.25">
      <c r="A26" s="3" t="s">
        <v>52</v>
      </c>
      <c r="B26" s="3" t="s">
        <v>73</v>
      </c>
      <c r="C26" s="3">
        <v>226</v>
      </c>
      <c r="D26" s="3">
        <v>3112</v>
      </c>
      <c r="E26" s="3">
        <v>206</v>
      </c>
      <c r="F26" s="9">
        <f>E26/C26+1</f>
        <v>1.9115044247787609</v>
      </c>
      <c r="G26" s="8">
        <f>E26/D26</f>
        <v>6.6195372750642675E-2</v>
      </c>
      <c r="H26" s="96">
        <f>D26-E26</f>
        <v>2906</v>
      </c>
    </row>
    <row r="27" spans="1:8" ht="15.75" x14ac:dyDescent="0.25">
      <c r="A27" s="3" t="s">
        <v>20</v>
      </c>
      <c r="B27" s="3" t="s">
        <v>123</v>
      </c>
      <c r="C27" s="3">
        <v>253</v>
      </c>
      <c r="D27" s="3">
        <v>2659</v>
      </c>
      <c r="E27" s="3">
        <v>62</v>
      </c>
      <c r="F27" s="9">
        <f>E27/C27+1.8</f>
        <v>2.0450592885375496</v>
      </c>
      <c r="G27" s="8">
        <f>E27/D27</f>
        <v>2.3317036479879653E-2</v>
      </c>
      <c r="H27" s="96">
        <f>D27-E27</f>
        <v>2597</v>
      </c>
    </row>
    <row r="28" spans="1:8" ht="15.75" x14ac:dyDescent="0.25">
      <c r="A28" s="3" t="s">
        <v>8</v>
      </c>
      <c r="B28" s="3" t="s">
        <v>123</v>
      </c>
      <c r="C28" s="3">
        <v>146</v>
      </c>
      <c r="D28" s="3">
        <v>2750</v>
      </c>
      <c r="E28" s="3">
        <v>348</v>
      </c>
      <c r="F28" s="9">
        <f>E28/C28+4</f>
        <v>6.3835616438356162</v>
      </c>
      <c r="G28" s="8">
        <f>E28/D28</f>
        <v>0.12654545454545454</v>
      </c>
      <c r="H28" s="96">
        <f>D28-E28</f>
        <v>2402</v>
      </c>
    </row>
    <row r="29" spans="1:8" ht="15.75" x14ac:dyDescent="0.25">
      <c r="A29" s="3" t="s">
        <v>19</v>
      </c>
      <c r="B29" s="3" t="s">
        <v>73</v>
      </c>
      <c r="C29" s="3">
        <v>94</v>
      </c>
      <c r="D29" s="3">
        <v>1960</v>
      </c>
      <c r="E29" s="3">
        <v>45</v>
      </c>
      <c r="F29" s="9">
        <f>E29/C29+1.4</f>
        <v>1.8787234042553191</v>
      </c>
      <c r="G29" s="8">
        <f>E29/D29</f>
        <v>2.2959183673469389E-2</v>
      </c>
      <c r="H29" s="96">
        <f>D29-E29</f>
        <v>1915</v>
      </c>
    </row>
  </sheetData>
  <sortState xmlns:xlrd2="http://schemas.microsoft.com/office/spreadsheetml/2017/richdata2" ref="A2:H29">
    <sortCondition descending="1" ref="H1:H29"/>
  </sortState>
  <conditionalFormatting sqref="G2:G29">
    <cfRule type="cellIs" dxfId="6" priority="1" operator="greaterThan">
      <formula>0.1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4F7A-6FAB-43CF-BB39-88F53C425E17}">
  <dimension ref="A1:H29"/>
  <sheetViews>
    <sheetView zoomScale="136" zoomScaleNormal="136" workbookViewId="0">
      <pane ySplit="1" topLeftCell="A2" activePane="bottomLeft" state="frozen"/>
      <selection pane="bottomLeft" activeCell="J16" sqref="J16"/>
    </sheetView>
  </sheetViews>
  <sheetFormatPr defaultRowHeight="15" x14ac:dyDescent="0.25"/>
  <cols>
    <col min="1" max="1" width="18.85546875" bestFit="1" customWidth="1"/>
    <col min="2" max="2" width="22.85546875" bestFit="1" customWidth="1"/>
    <col min="3" max="3" width="13.85546875" bestFit="1" customWidth="1"/>
    <col min="4" max="4" width="17.85546875" bestFit="1" customWidth="1"/>
    <col min="5" max="5" width="13.7109375" bestFit="1" customWidth="1"/>
    <col min="6" max="6" width="11.7109375" bestFit="1" customWidth="1"/>
    <col min="8" max="8" width="12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5.75" x14ac:dyDescent="0.25">
      <c r="A2" s="39" t="s">
        <v>129</v>
      </c>
      <c r="B2" s="39" t="s">
        <v>147</v>
      </c>
      <c r="C2" s="67">
        <v>15013</v>
      </c>
      <c r="D2" s="67">
        <v>320122</v>
      </c>
      <c r="E2" s="67">
        <v>22307.663499999999</v>
      </c>
      <c r="F2" s="36">
        <v>2.6858897955105574</v>
      </c>
      <c r="G2" s="49">
        <v>6.9684881076589544E-2</v>
      </c>
      <c r="H2" s="107">
        <f>D2-E2</f>
        <v>297814.33649999998</v>
      </c>
    </row>
    <row r="3" spans="1:8" ht="15.75" x14ac:dyDescent="0.25">
      <c r="A3" s="4" t="s">
        <v>13</v>
      </c>
      <c r="B3" s="4" t="s">
        <v>27</v>
      </c>
      <c r="C3" s="4">
        <v>2516</v>
      </c>
      <c r="D3" s="4">
        <v>52691</v>
      </c>
      <c r="E3" s="10">
        <v>2747.02</v>
      </c>
      <c r="F3" s="9">
        <f>1.09182034976153+0.1</f>
        <v>1.1918203497615301</v>
      </c>
      <c r="G3" s="8">
        <f>E3/D3</f>
        <v>5.213452012677687E-2</v>
      </c>
      <c r="H3" s="107">
        <f>D3-E3</f>
        <v>49943.98</v>
      </c>
    </row>
    <row r="4" spans="1:8" ht="15.75" x14ac:dyDescent="0.25">
      <c r="A4" s="4" t="s">
        <v>7</v>
      </c>
      <c r="B4" s="4" t="s">
        <v>97</v>
      </c>
      <c r="C4" s="4">
        <v>1212</v>
      </c>
      <c r="D4" s="4">
        <v>25474</v>
      </c>
      <c r="E4" s="10">
        <v>1930.0335000000005</v>
      </c>
      <c r="F4" s="9">
        <f>1.59243688118812+1</f>
        <v>2.59243688118812</v>
      </c>
      <c r="G4" s="8">
        <f>E4/D4</f>
        <v>7.5764838659024905E-2</v>
      </c>
      <c r="H4" s="107">
        <f>D4-E4</f>
        <v>23543.966499999999</v>
      </c>
    </row>
    <row r="5" spans="1:8" ht="15.75" x14ac:dyDescent="0.25">
      <c r="A5" s="4" t="s">
        <v>12</v>
      </c>
      <c r="B5" s="4" t="s">
        <v>116</v>
      </c>
      <c r="C5" s="4">
        <v>940</v>
      </c>
      <c r="D5" s="4">
        <v>20108</v>
      </c>
      <c r="E5" s="10">
        <v>908.2793999999999</v>
      </c>
      <c r="F5" s="9">
        <f>0.966254680851064+1.5</f>
        <v>2.4662546808510641</v>
      </c>
      <c r="G5" s="8">
        <f>E5/D5</f>
        <v>4.5170051720708169E-2</v>
      </c>
      <c r="H5" s="107">
        <f>D5-E5</f>
        <v>19199.720600000001</v>
      </c>
    </row>
    <row r="6" spans="1:8" ht="15.75" x14ac:dyDescent="0.25">
      <c r="A6" s="4" t="s">
        <v>11</v>
      </c>
      <c r="B6" s="4" t="s">
        <v>97</v>
      </c>
      <c r="C6" s="4">
        <v>897</v>
      </c>
      <c r="D6" s="4">
        <v>19444</v>
      </c>
      <c r="E6" s="10">
        <v>721.43999999999994</v>
      </c>
      <c r="F6" s="9">
        <f>0.804280936454849+1.9</f>
        <v>2.704280936454849</v>
      </c>
      <c r="G6" s="8">
        <f>E6/D6</f>
        <v>3.7103476650894876E-2</v>
      </c>
      <c r="H6" s="107">
        <f>D6-E6</f>
        <v>18722.560000000001</v>
      </c>
    </row>
    <row r="7" spans="1:8" ht="15.75" x14ac:dyDescent="0.25">
      <c r="A7" s="4" t="s">
        <v>15</v>
      </c>
      <c r="B7" s="4" t="s">
        <v>97</v>
      </c>
      <c r="C7" s="4">
        <v>863</v>
      </c>
      <c r="D7" s="4">
        <v>19049</v>
      </c>
      <c r="E7" s="10">
        <v>1119</v>
      </c>
      <c r="F7" s="9">
        <f>1.29663962920046+2</f>
        <v>3.2966396292004601</v>
      </c>
      <c r="G7" s="8">
        <f>E7/D7</f>
        <v>5.8743241115019162E-2</v>
      </c>
      <c r="H7" s="107">
        <f>D7-E7</f>
        <v>17930</v>
      </c>
    </row>
    <row r="8" spans="1:8" ht="15.75" x14ac:dyDescent="0.25">
      <c r="A8" s="4" t="s">
        <v>24</v>
      </c>
      <c r="B8" s="4" t="s">
        <v>27</v>
      </c>
      <c r="C8" s="4">
        <v>836</v>
      </c>
      <c r="D8" s="4">
        <v>18250</v>
      </c>
      <c r="E8" s="10">
        <v>1404.309</v>
      </c>
      <c r="F8" s="9">
        <f>1.67979545454545+0.1</f>
        <v>1.7797954545454502</v>
      </c>
      <c r="G8" s="8">
        <f>E8/D8</f>
        <v>7.6948438356164384E-2</v>
      </c>
      <c r="H8" s="107">
        <f>D8-E8</f>
        <v>16845.690999999999</v>
      </c>
    </row>
    <row r="9" spans="1:8" ht="15.75" x14ac:dyDescent="0.25">
      <c r="A9" s="4" t="s">
        <v>59</v>
      </c>
      <c r="B9" s="4" t="s">
        <v>97</v>
      </c>
      <c r="C9" s="4">
        <v>733</v>
      </c>
      <c r="D9" s="4">
        <v>15803</v>
      </c>
      <c r="E9" s="10">
        <v>983.62500000000011</v>
      </c>
      <c r="F9" s="9">
        <f>1.34191678035471+1.3</f>
        <v>2.6419167803547099</v>
      </c>
      <c r="G9" s="8">
        <f>E9/D9</f>
        <v>6.2242928557868768E-2</v>
      </c>
      <c r="H9" s="107">
        <f>D9-E9</f>
        <v>14819.375</v>
      </c>
    </row>
    <row r="10" spans="1:8" ht="15.75" x14ac:dyDescent="0.25">
      <c r="A10" s="4" t="s">
        <v>47</v>
      </c>
      <c r="B10" s="4" t="s">
        <v>97</v>
      </c>
      <c r="C10" s="4">
        <v>725</v>
      </c>
      <c r="D10" s="4">
        <v>15783</v>
      </c>
      <c r="E10" s="10">
        <v>963.75900000000001</v>
      </c>
      <c r="F10" s="9">
        <f>1.32932275862069+1.1</f>
        <v>2.4293227586206898</v>
      </c>
      <c r="G10" s="8">
        <f>E10/D10</f>
        <v>6.1063105873408095E-2</v>
      </c>
      <c r="H10" s="107">
        <f>D10-E10</f>
        <v>14819.241</v>
      </c>
    </row>
    <row r="11" spans="1:8" ht="15.75" x14ac:dyDescent="0.25">
      <c r="A11" s="4" t="s">
        <v>6</v>
      </c>
      <c r="B11" s="4" t="s">
        <v>27</v>
      </c>
      <c r="C11" s="4">
        <v>734</v>
      </c>
      <c r="D11" s="4">
        <v>15839</v>
      </c>
      <c r="E11" s="10">
        <v>1278.9279999999999</v>
      </c>
      <c r="F11" s="9">
        <f>1.74240871934605+0.1</f>
        <v>1.8424087193460501</v>
      </c>
      <c r="G11" s="8">
        <f>E11/D11</f>
        <v>8.0745501609950115E-2</v>
      </c>
      <c r="H11" s="107">
        <f>D11-E11</f>
        <v>14560.072</v>
      </c>
    </row>
    <row r="12" spans="1:8" ht="15.75" x14ac:dyDescent="0.25">
      <c r="A12" s="4" t="s">
        <v>16</v>
      </c>
      <c r="B12" s="4" t="s">
        <v>27</v>
      </c>
      <c r="C12" s="4">
        <v>698</v>
      </c>
      <c r="D12" s="4">
        <v>15493</v>
      </c>
      <c r="E12" s="10">
        <v>1669.4540000000002</v>
      </c>
      <c r="F12" s="9">
        <f>2.39176790830946+0.1</f>
        <v>2.4917679083094599</v>
      </c>
      <c r="G12" s="8">
        <f>E12/D12</f>
        <v>0.10775537339443621</v>
      </c>
      <c r="H12" s="107">
        <f>D12-E12</f>
        <v>13823.546</v>
      </c>
    </row>
    <row r="13" spans="1:8" ht="15.75" x14ac:dyDescent="0.25">
      <c r="A13" s="4" t="s">
        <v>17</v>
      </c>
      <c r="B13" s="4" t="s">
        <v>27</v>
      </c>
      <c r="C13" s="4">
        <v>630</v>
      </c>
      <c r="D13" s="4">
        <v>13449</v>
      </c>
      <c r="E13" s="10">
        <v>1165.1179999999999</v>
      </c>
      <c r="F13" s="9">
        <f>1.84939365079365+0.1</f>
        <v>1.94939365079365</v>
      </c>
      <c r="G13" s="8">
        <f>E13/D13</f>
        <v>8.6632314670235702E-2</v>
      </c>
      <c r="H13" s="107">
        <f>D13-E13</f>
        <v>12283.882</v>
      </c>
    </row>
    <row r="14" spans="1:8" ht="15.75" x14ac:dyDescent="0.25">
      <c r="A14" s="4" t="s">
        <v>55</v>
      </c>
      <c r="B14" s="4" t="s">
        <v>97</v>
      </c>
      <c r="C14" s="4">
        <v>575</v>
      </c>
      <c r="D14" s="4">
        <v>12269</v>
      </c>
      <c r="E14" s="10">
        <v>745.74900000000002</v>
      </c>
      <c r="F14" s="9">
        <f>1.2969547826087+1.9</f>
        <v>3.1969547826086999</v>
      </c>
      <c r="G14" s="8">
        <f>E14/D14</f>
        <v>6.0783193414296194E-2</v>
      </c>
      <c r="H14" s="107">
        <f>D14-E14</f>
        <v>11523.251</v>
      </c>
    </row>
    <row r="15" spans="1:8" ht="15.75" x14ac:dyDescent="0.25">
      <c r="A15" s="4" t="s">
        <v>44</v>
      </c>
      <c r="B15" s="4" t="s">
        <v>97</v>
      </c>
      <c r="C15" s="4">
        <v>536</v>
      </c>
      <c r="D15" s="4">
        <v>11556</v>
      </c>
      <c r="E15" s="10">
        <v>699.82499999999993</v>
      </c>
      <c r="F15" s="9">
        <f>1.30564365671642+0.8</f>
        <v>2.1056436567164201</v>
      </c>
      <c r="G15" s="8">
        <f>E15/D15</f>
        <v>6.0559449636552437E-2</v>
      </c>
      <c r="H15" s="107">
        <f>D15-E15</f>
        <v>10856.174999999999</v>
      </c>
    </row>
    <row r="16" spans="1:8" ht="15.75" x14ac:dyDescent="0.25">
      <c r="A16" s="4" t="s">
        <v>18</v>
      </c>
      <c r="B16" s="4" t="s">
        <v>116</v>
      </c>
      <c r="C16" s="4">
        <v>551</v>
      </c>
      <c r="D16" s="4">
        <v>11174</v>
      </c>
      <c r="E16" s="10">
        <v>499.8168</v>
      </c>
      <c r="F16" s="9">
        <f>0.907108529945554+1.1</f>
        <v>2.0071085299455542</v>
      </c>
      <c r="G16" s="8">
        <f>E16/D16</f>
        <v>4.473033828530517E-2</v>
      </c>
      <c r="H16" s="107">
        <f>D16-E16</f>
        <v>10674.183199999999</v>
      </c>
    </row>
    <row r="17" spans="1:8" ht="15.75" x14ac:dyDescent="0.25">
      <c r="A17" s="4" t="s">
        <v>74</v>
      </c>
      <c r="B17" s="4" t="s">
        <v>97</v>
      </c>
      <c r="C17" s="4">
        <v>503</v>
      </c>
      <c r="D17" s="4">
        <v>10369</v>
      </c>
      <c r="E17" s="10">
        <v>701.82449999999994</v>
      </c>
      <c r="F17" s="9">
        <f>1.3952773359841+1.8</f>
        <v>3.1952773359841</v>
      </c>
      <c r="G17" s="8">
        <f>E17/D17</f>
        <v>6.7684878001735935E-2</v>
      </c>
      <c r="H17" s="107">
        <f>D17-E17</f>
        <v>9667.1754999999994</v>
      </c>
    </row>
    <row r="18" spans="1:8" ht="15.75" x14ac:dyDescent="0.25">
      <c r="A18" s="4" t="s">
        <v>9</v>
      </c>
      <c r="B18" s="4" t="s">
        <v>97</v>
      </c>
      <c r="C18" s="4">
        <v>419</v>
      </c>
      <c r="D18" s="4">
        <v>9041</v>
      </c>
      <c r="E18" s="10">
        <v>489.46149999999994</v>
      </c>
      <c r="F18" s="9">
        <f>1.16816587112172+2.1</f>
        <v>3.2681658711217203</v>
      </c>
      <c r="G18" s="8">
        <f>E18/D18</f>
        <v>5.413798252405707E-2</v>
      </c>
      <c r="H18" s="107">
        <f>D18-E18</f>
        <v>8551.5385000000006</v>
      </c>
    </row>
    <row r="19" spans="1:8" ht="15.75" x14ac:dyDescent="0.25">
      <c r="A19" s="4" t="s">
        <v>22</v>
      </c>
      <c r="B19" s="4" t="s">
        <v>97</v>
      </c>
      <c r="C19" s="4">
        <v>229</v>
      </c>
      <c r="D19" s="4">
        <v>4810</v>
      </c>
      <c r="E19" s="10">
        <v>301.92449999999997</v>
      </c>
      <c r="F19" s="9">
        <f>1.31844759825328+1.6</f>
        <v>2.9184475982532803</v>
      </c>
      <c r="G19" s="8">
        <f>E19/D19</f>
        <v>6.2770166320166312E-2</v>
      </c>
      <c r="H19" s="107">
        <f>D19-E19</f>
        <v>4508.0754999999999</v>
      </c>
    </row>
    <row r="20" spans="1:8" ht="15.75" x14ac:dyDescent="0.25">
      <c r="A20" s="4" t="s">
        <v>31</v>
      </c>
      <c r="B20" s="4" t="s">
        <v>116</v>
      </c>
      <c r="C20" s="4">
        <v>241</v>
      </c>
      <c r="D20" s="4">
        <v>5124</v>
      </c>
      <c r="E20" s="10">
        <v>1014.7409999999999</v>
      </c>
      <c r="F20" s="9">
        <f>4.21054356846473+1.9</f>
        <v>6.1105435684647293</v>
      </c>
      <c r="G20" s="8">
        <f>E20/D20</f>
        <v>0.1980368852459016</v>
      </c>
      <c r="H20" s="107">
        <f>D20-E20</f>
        <v>4109.259</v>
      </c>
    </row>
    <row r="21" spans="1:8" ht="15.75" x14ac:dyDescent="0.25">
      <c r="A21" s="4" t="s">
        <v>41</v>
      </c>
      <c r="B21" s="4" t="s">
        <v>116</v>
      </c>
      <c r="C21" s="10">
        <v>212</v>
      </c>
      <c r="D21" s="10">
        <v>4449</v>
      </c>
      <c r="E21" s="10">
        <v>693.18059999999991</v>
      </c>
      <c r="F21" s="9">
        <f>3.26971981132075+2.3</f>
        <v>5.5697198113207502</v>
      </c>
      <c r="G21" s="8">
        <f>E21/D21</f>
        <v>0.15580593391773431</v>
      </c>
      <c r="H21" s="107">
        <f>D21-E21</f>
        <v>3755.8194000000003</v>
      </c>
    </row>
    <row r="22" spans="1:8" ht="15.75" x14ac:dyDescent="0.25">
      <c r="A22" s="4" t="s">
        <v>21</v>
      </c>
      <c r="B22" s="4" t="s">
        <v>116</v>
      </c>
      <c r="C22" s="4">
        <v>166</v>
      </c>
      <c r="D22" s="4">
        <v>3694</v>
      </c>
      <c r="E22" s="10">
        <v>415.40519999999998</v>
      </c>
      <c r="F22" s="9">
        <f>2.50244096385542+2.7</f>
        <v>5.2024409638554197</v>
      </c>
      <c r="G22" s="8">
        <f>E22/D22</f>
        <v>0.11245403356794802</v>
      </c>
      <c r="H22" s="107">
        <f>D22-E22</f>
        <v>3278.5947999999999</v>
      </c>
    </row>
    <row r="23" spans="1:8" ht="15.75" x14ac:dyDescent="0.25">
      <c r="A23" s="4" t="s">
        <v>39</v>
      </c>
      <c r="B23" s="4" t="s">
        <v>116</v>
      </c>
      <c r="C23" s="4">
        <v>177</v>
      </c>
      <c r="D23" s="4">
        <v>3564</v>
      </c>
      <c r="E23" s="10">
        <v>445.62840000000006</v>
      </c>
      <c r="F23" s="9">
        <f>2.51767457627119+1.3</f>
        <v>3.8176745762711901</v>
      </c>
      <c r="G23" s="8">
        <f>E23/D23</f>
        <v>0.12503602693602694</v>
      </c>
      <c r="H23" s="107">
        <f>D23-E23</f>
        <v>3118.3715999999999</v>
      </c>
    </row>
    <row r="24" spans="1:8" ht="15.75" x14ac:dyDescent="0.25">
      <c r="A24" s="4" t="s">
        <v>52</v>
      </c>
      <c r="B24" s="4" t="s">
        <v>97</v>
      </c>
      <c r="C24" s="4">
        <v>147</v>
      </c>
      <c r="D24" s="4">
        <v>3136</v>
      </c>
      <c r="E24" s="10">
        <v>263.48250000000002</v>
      </c>
      <c r="F24" s="9">
        <f>1.79239795918367+1</f>
        <v>2.7923979591836701</v>
      </c>
      <c r="G24" s="8">
        <f>E24/D24</f>
        <v>8.4018654336734694E-2</v>
      </c>
      <c r="H24" s="107">
        <f>D24-E24</f>
        <v>2872.5174999999999</v>
      </c>
    </row>
    <row r="25" spans="1:8" ht="15.75" x14ac:dyDescent="0.25">
      <c r="A25" s="4" t="s">
        <v>20</v>
      </c>
      <c r="B25" s="4" t="s">
        <v>116</v>
      </c>
      <c r="C25" s="4">
        <v>131</v>
      </c>
      <c r="D25" s="4">
        <v>2813</v>
      </c>
      <c r="E25" s="10">
        <v>105.9786</v>
      </c>
      <c r="F25" s="9">
        <f>0.808996946564886+1.8</f>
        <v>2.6089969465648859</v>
      </c>
      <c r="G25" s="8">
        <f>E25/D25</f>
        <v>3.7674582296480623E-2</v>
      </c>
      <c r="H25" s="107">
        <f>D25-E25</f>
        <v>2707.0214000000001</v>
      </c>
    </row>
    <row r="26" spans="1:8" ht="15.75" x14ac:dyDescent="0.25">
      <c r="A26" s="4" t="s">
        <v>54</v>
      </c>
      <c r="B26" s="4" t="s">
        <v>116</v>
      </c>
      <c r="C26" s="4">
        <v>137</v>
      </c>
      <c r="D26" s="4">
        <v>2590</v>
      </c>
      <c r="E26" s="10">
        <v>87.460799999999992</v>
      </c>
      <c r="F26" s="9">
        <f>0.6384+2.7</f>
        <v>3.3384</v>
      </c>
      <c r="G26" s="8">
        <f>E26/D26</f>
        <v>3.3768648648648647E-2</v>
      </c>
      <c r="H26" s="107">
        <f>D26-E26</f>
        <v>2502.5392000000002</v>
      </c>
    </row>
    <row r="27" spans="1:8" s="1" customFormat="1" ht="15.75" x14ac:dyDescent="0.25">
      <c r="A27" s="4" t="s">
        <v>19</v>
      </c>
      <c r="B27" s="4" t="s">
        <v>97</v>
      </c>
      <c r="C27" s="4">
        <v>87</v>
      </c>
      <c r="D27" s="4">
        <v>1857</v>
      </c>
      <c r="E27" s="10">
        <f>252+(1.4*C27)</f>
        <v>373.8</v>
      </c>
      <c r="F27" s="9">
        <f>2.89655172413793+1.4</f>
        <v>4.2965517241379301</v>
      </c>
      <c r="G27" s="8">
        <f>E27/D27</f>
        <v>0.20129240710823909</v>
      </c>
      <c r="H27" s="107">
        <f>D27-E27</f>
        <v>1483.2</v>
      </c>
    </row>
    <row r="28" spans="1:8" ht="15.75" x14ac:dyDescent="0.25">
      <c r="A28" s="4" t="s">
        <v>42</v>
      </c>
      <c r="B28" s="4" t="s">
        <v>116</v>
      </c>
      <c r="C28" s="4">
        <v>82</v>
      </c>
      <c r="D28" s="4">
        <v>1589</v>
      </c>
      <c r="E28" s="10">
        <v>289.61920000000003</v>
      </c>
      <c r="F28" s="9">
        <f>3.53194146341463+2.2</f>
        <v>5.7319414634146302</v>
      </c>
      <c r="G28" s="8">
        <f>E28/D28</f>
        <v>0.18226507237256137</v>
      </c>
      <c r="H28" s="107">
        <f>D28-E28</f>
        <v>1299.3807999999999</v>
      </c>
    </row>
    <row r="29" spans="1:8" ht="15.75" x14ac:dyDescent="0.25">
      <c r="A29" s="4" t="s">
        <v>40</v>
      </c>
      <c r="B29" s="4" t="s">
        <v>116</v>
      </c>
      <c r="C29" s="4">
        <v>36</v>
      </c>
      <c r="D29" s="4">
        <v>704</v>
      </c>
      <c r="E29" s="10">
        <f>195.2+(2.6*C29)</f>
        <v>288.8</v>
      </c>
      <c r="F29" s="9">
        <f>5.42222222222222+2.6</f>
        <v>8.0222222222222204</v>
      </c>
      <c r="G29" s="8">
        <f>E29/D29</f>
        <v>0.41022727272727272</v>
      </c>
      <c r="H29" s="107">
        <f>D29-E29</f>
        <v>415.2</v>
      </c>
    </row>
  </sheetData>
  <sortState xmlns:xlrd2="http://schemas.microsoft.com/office/spreadsheetml/2017/richdata2" ref="A2:H29">
    <sortCondition descending="1" ref="H1:H29"/>
  </sortState>
  <conditionalFormatting sqref="G2:G29">
    <cfRule type="cellIs" dxfId="5" priority="1" operator="greaterThan">
      <formula>0.1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9618-EAFC-473B-826D-0A5433CDA84D}">
  <dimension ref="A1:H28"/>
  <sheetViews>
    <sheetView zoomScale="112" zoomScaleNormal="112" workbookViewId="0">
      <pane ySplit="1" topLeftCell="A2" activePane="bottomLeft" state="frozen"/>
      <selection pane="bottomLeft" activeCell="H2" sqref="H2:H28"/>
    </sheetView>
  </sheetViews>
  <sheetFormatPr defaultRowHeight="15" x14ac:dyDescent="0.25"/>
  <cols>
    <col min="1" max="1" width="18.85546875" bestFit="1" customWidth="1"/>
    <col min="2" max="2" width="18.42578125" bestFit="1" customWidth="1"/>
    <col min="3" max="3" width="14" bestFit="1" customWidth="1"/>
    <col min="4" max="4" width="18" bestFit="1" customWidth="1"/>
    <col min="5" max="5" width="13.85546875" bestFit="1" customWidth="1"/>
    <col min="6" max="6" width="11.7109375" bestFit="1" customWidth="1"/>
    <col min="8" max="8" width="11.570312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5.75" x14ac:dyDescent="0.25">
      <c r="A2" s="74" t="s">
        <v>129</v>
      </c>
      <c r="B2" s="74" t="s">
        <v>148</v>
      </c>
      <c r="C2" s="74">
        <v>17658</v>
      </c>
      <c r="D2" s="74">
        <v>382814</v>
      </c>
      <c r="E2" s="75">
        <v>16179.493400000005</v>
      </c>
      <c r="F2" s="76">
        <v>2.1162698720126856</v>
      </c>
      <c r="G2" s="49">
        <v>4.2264633477354548E-2</v>
      </c>
      <c r="H2" s="106">
        <f>D2-E2</f>
        <v>366634.50660000002</v>
      </c>
    </row>
    <row r="3" spans="1:8" ht="15.75" x14ac:dyDescent="0.25">
      <c r="A3" s="4" t="s">
        <v>13</v>
      </c>
      <c r="B3" s="4" t="s">
        <v>90</v>
      </c>
      <c r="C3" s="4">
        <v>2603</v>
      </c>
      <c r="D3" s="4">
        <v>54785</v>
      </c>
      <c r="E3" s="10">
        <v>2875.68</v>
      </c>
      <c r="F3" s="9">
        <f>E3/C3+0.1</f>
        <v>1.2047560507107185</v>
      </c>
      <c r="G3" s="8">
        <f>E3/D3</f>
        <v>5.2490280186182348E-2</v>
      </c>
      <c r="H3" s="106">
        <f>D3-E3</f>
        <v>51909.32</v>
      </c>
    </row>
    <row r="4" spans="1:8" ht="15.75" x14ac:dyDescent="0.25">
      <c r="A4" s="4" t="s">
        <v>7</v>
      </c>
      <c r="B4" s="4" t="s">
        <v>96</v>
      </c>
      <c r="C4" s="4">
        <v>1745</v>
      </c>
      <c r="D4" s="4">
        <v>37793</v>
      </c>
      <c r="E4" s="10">
        <v>1172.4899999999998</v>
      </c>
      <c r="F4" s="9">
        <f>E4/C4+1</f>
        <v>1.6719140401146131</v>
      </c>
      <c r="G4" s="8">
        <f>E4/D4</f>
        <v>3.1023999153282349E-2</v>
      </c>
      <c r="H4" s="106">
        <f>D4-E4</f>
        <v>36620.51</v>
      </c>
    </row>
    <row r="5" spans="1:8" ht="15.75" x14ac:dyDescent="0.25">
      <c r="A5" s="4" t="s">
        <v>24</v>
      </c>
      <c r="B5" s="4" t="s">
        <v>90</v>
      </c>
      <c r="C5" s="4">
        <v>1279</v>
      </c>
      <c r="D5" s="4">
        <v>28448</v>
      </c>
      <c r="E5" s="10">
        <v>1873.0440000000003</v>
      </c>
      <c r="F5" s="9">
        <f>E5/C5+0.1</f>
        <v>1.5644597341673185</v>
      </c>
      <c r="G5" s="8">
        <f>E5/D5</f>
        <v>6.5840973003374589E-2</v>
      </c>
      <c r="H5" s="106">
        <f>D5-E5</f>
        <v>26574.955999999998</v>
      </c>
    </row>
    <row r="6" spans="1:8" ht="15.75" x14ac:dyDescent="0.25">
      <c r="A6" s="4" t="s">
        <v>12</v>
      </c>
      <c r="B6" s="4" t="s">
        <v>122</v>
      </c>
      <c r="C6" s="4">
        <v>1191</v>
      </c>
      <c r="D6" s="4">
        <v>25991</v>
      </c>
      <c r="E6" s="10">
        <v>496.05119999999999</v>
      </c>
      <c r="F6" s="9">
        <f>E6/C6+1.5</f>
        <v>1.9164997481108312</v>
      </c>
      <c r="G6" s="8">
        <f>E6/D6</f>
        <v>1.9085498826516872E-2</v>
      </c>
      <c r="H6" s="106">
        <f>D6-E6</f>
        <v>25494.948799999998</v>
      </c>
    </row>
    <row r="7" spans="1:8" ht="15.75" x14ac:dyDescent="0.25">
      <c r="A7" s="4" t="s">
        <v>11</v>
      </c>
      <c r="B7" s="4" t="s">
        <v>96</v>
      </c>
      <c r="C7" s="4">
        <v>1166</v>
      </c>
      <c r="D7" s="4">
        <v>25564</v>
      </c>
      <c r="E7" s="10">
        <v>379.71999999999997</v>
      </c>
      <c r="F7" s="9">
        <f>E7/C7+1.9</f>
        <v>2.2256603773584906</v>
      </c>
      <c r="G7" s="8">
        <f>E7/D7</f>
        <v>1.4853700516351117E-2</v>
      </c>
      <c r="H7" s="106">
        <f>D7-E7</f>
        <v>25184.28</v>
      </c>
    </row>
    <row r="8" spans="1:8" ht="15.75" x14ac:dyDescent="0.25">
      <c r="A8" s="4" t="s">
        <v>15</v>
      </c>
      <c r="B8" s="4" t="s">
        <v>96</v>
      </c>
      <c r="C8" s="4">
        <v>1003</v>
      </c>
      <c r="D8" s="4">
        <v>22386</v>
      </c>
      <c r="E8" s="10">
        <v>888.6096</v>
      </c>
      <c r="F8" s="9">
        <f>E8/C8+3</f>
        <v>3.8859517447657028</v>
      </c>
      <c r="G8" s="8">
        <f>E8/D8</f>
        <v>3.969488072902707E-2</v>
      </c>
      <c r="H8" s="106">
        <f>D8-E8</f>
        <v>21497.3904</v>
      </c>
    </row>
    <row r="9" spans="1:8" ht="15.75" x14ac:dyDescent="0.25">
      <c r="A9" s="4" t="s">
        <v>59</v>
      </c>
      <c r="B9" s="4" t="s">
        <v>96</v>
      </c>
      <c r="C9" s="4">
        <v>930</v>
      </c>
      <c r="D9" s="4">
        <v>20288</v>
      </c>
      <c r="E9" s="10">
        <v>487.63499999999999</v>
      </c>
      <c r="F9" s="9">
        <f>E9/C9+1.3</f>
        <v>1.8243387096774195</v>
      </c>
      <c r="G9" s="8">
        <f>E9/D9</f>
        <v>2.4035636829652995E-2</v>
      </c>
      <c r="H9" s="106">
        <f>D9-E9</f>
        <v>19800.365000000002</v>
      </c>
    </row>
    <row r="10" spans="1:8" ht="15.75" x14ac:dyDescent="0.25">
      <c r="A10" s="4" t="s">
        <v>6</v>
      </c>
      <c r="B10" s="4" t="s">
        <v>90</v>
      </c>
      <c r="C10" s="4">
        <v>976</v>
      </c>
      <c r="D10" s="4">
        <v>21020</v>
      </c>
      <c r="E10" s="10">
        <v>1357.32</v>
      </c>
      <c r="F10" s="9">
        <f>E10/C10+0.1</f>
        <v>1.4906967213114755</v>
      </c>
      <c r="G10" s="8">
        <f>E10/D10</f>
        <v>6.4572787821122732E-2</v>
      </c>
      <c r="H10" s="106">
        <f>D10-E10</f>
        <v>19662.68</v>
      </c>
    </row>
    <row r="11" spans="1:8" ht="15.75" x14ac:dyDescent="0.25">
      <c r="A11" s="4" t="s">
        <v>44</v>
      </c>
      <c r="B11" s="4" t="s">
        <v>96</v>
      </c>
      <c r="C11" s="4">
        <v>902</v>
      </c>
      <c r="D11" s="4">
        <v>19754</v>
      </c>
      <c r="E11" s="10">
        <v>423.22499999999997</v>
      </c>
      <c r="F11" s="9">
        <f>E11/C11+0.8</f>
        <v>1.2692073170731708</v>
      </c>
      <c r="G11" s="8">
        <f>E11/D11</f>
        <v>2.1424774729168775E-2</v>
      </c>
      <c r="H11" s="106">
        <f>D11-E11</f>
        <v>19330.775000000001</v>
      </c>
    </row>
    <row r="12" spans="1:8" ht="15.75" x14ac:dyDescent="0.25">
      <c r="A12" s="4" t="s">
        <v>47</v>
      </c>
      <c r="B12" s="4" t="s">
        <v>96</v>
      </c>
      <c r="C12" s="4">
        <v>726</v>
      </c>
      <c r="D12" s="4">
        <v>15777</v>
      </c>
      <c r="E12" s="10">
        <v>337.44</v>
      </c>
      <c r="F12" s="9">
        <f>E12/C12+1.1</f>
        <v>1.5647933884297522</v>
      </c>
      <c r="G12" s="8">
        <f>E12/D12</f>
        <v>2.1388096596311086E-2</v>
      </c>
      <c r="H12" s="106">
        <f>D12-E12</f>
        <v>15439.56</v>
      </c>
    </row>
    <row r="13" spans="1:8" ht="15.75" x14ac:dyDescent="0.25">
      <c r="A13" s="4" t="s">
        <v>17</v>
      </c>
      <c r="B13" s="4" t="s">
        <v>90</v>
      </c>
      <c r="C13" s="4">
        <v>749</v>
      </c>
      <c r="D13" s="4">
        <v>16472</v>
      </c>
      <c r="E13" s="10">
        <v>1269.432</v>
      </c>
      <c r="F13" s="9">
        <f>E13/C13+0.1</f>
        <v>1.7948357810413886</v>
      </c>
      <c r="G13" s="8">
        <f>E13/D13</f>
        <v>7.7066051481301606E-2</v>
      </c>
      <c r="H13" s="106">
        <f>D13-E13</f>
        <v>15202.567999999999</v>
      </c>
    </row>
    <row r="14" spans="1:8" ht="15.75" x14ac:dyDescent="0.25">
      <c r="A14" s="4" t="s">
        <v>16</v>
      </c>
      <c r="B14" s="4" t="s">
        <v>90</v>
      </c>
      <c r="C14" s="4">
        <v>741</v>
      </c>
      <c r="D14" s="4">
        <v>16410</v>
      </c>
      <c r="E14" s="10">
        <v>1364.4</v>
      </c>
      <c r="F14" s="9">
        <f>E14/C14+0.1</f>
        <v>1.9412955465587047</v>
      </c>
      <c r="G14" s="8">
        <f>E14/D14</f>
        <v>8.3144424131627065E-2</v>
      </c>
      <c r="H14" s="106">
        <f>D14-E14</f>
        <v>15045.6</v>
      </c>
    </row>
    <row r="15" spans="1:8" ht="15.75" x14ac:dyDescent="0.25">
      <c r="A15" s="4" t="s">
        <v>55</v>
      </c>
      <c r="B15" s="4" t="s">
        <v>96</v>
      </c>
      <c r="C15" s="4">
        <v>554</v>
      </c>
      <c r="D15" s="4">
        <v>12027</v>
      </c>
      <c r="E15" s="10">
        <v>291.27000000000004</v>
      </c>
      <c r="F15" s="9">
        <f>E15/C15+1.9</f>
        <v>2.4257581227436824</v>
      </c>
      <c r="G15" s="8">
        <f>E15/D15</f>
        <v>2.4218009478672989E-2</v>
      </c>
      <c r="H15" s="106">
        <f>D15-E15</f>
        <v>11735.73</v>
      </c>
    </row>
    <row r="16" spans="1:8" ht="15.75" x14ac:dyDescent="0.25">
      <c r="A16" s="4" t="s">
        <v>74</v>
      </c>
      <c r="B16" s="4" t="s">
        <v>96</v>
      </c>
      <c r="C16" s="4">
        <v>582</v>
      </c>
      <c r="D16" s="4">
        <v>11859</v>
      </c>
      <c r="E16" s="10">
        <v>410.96999999999997</v>
      </c>
      <c r="F16" s="9">
        <f>E16/C16+1.8</f>
        <v>2.5061340206185569</v>
      </c>
      <c r="G16" s="8">
        <f>E16/D16</f>
        <v>3.4654692638502398E-2</v>
      </c>
      <c r="H16" s="106">
        <f>D16-E16</f>
        <v>11448.03</v>
      </c>
    </row>
    <row r="17" spans="1:8" ht="15.75" x14ac:dyDescent="0.25">
      <c r="A17" s="4" t="s">
        <v>9</v>
      </c>
      <c r="B17" s="4" t="s">
        <v>96</v>
      </c>
      <c r="C17" s="4">
        <v>532</v>
      </c>
      <c r="D17" s="4">
        <v>11652</v>
      </c>
      <c r="E17" s="10">
        <v>218.78</v>
      </c>
      <c r="F17" s="9">
        <f>E17/C17+2.1</f>
        <v>2.5112406015037596</v>
      </c>
      <c r="G17" s="8">
        <f>E17/D17</f>
        <v>1.877617576381737E-2</v>
      </c>
      <c r="H17" s="106">
        <f>D17-E17</f>
        <v>11433.22</v>
      </c>
    </row>
    <row r="18" spans="1:8" ht="15.75" x14ac:dyDescent="0.25">
      <c r="A18" s="4" t="s">
        <v>31</v>
      </c>
      <c r="B18" s="4" t="s">
        <v>122</v>
      </c>
      <c r="C18" s="4">
        <v>410</v>
      </c>
      <c r="D18" s="4">
        <v>8859</v>
      </c>
      <c r="E18" s="10">
        <v>443.04840000000002</v>
      </c>
      <c r="F18" s="9">
        <f>E18/C18+1.9</f>
        <v>2.9806058536585365</v>
      </c>
      <c r="G18" s="8">
        <f>E18/D18</f>
        <v>5.0011107348459198E-2</v>
      </c>
      <c r="H18" s="106">
        <f>D18-E18</f>
        <v>8415.9516000000003</v>
      </c>
    </row>
    <row r="19" spans="1:8" ht="15.75" x14ac:dyDescent="0.25">
      <c r="A19" s="4" t="s">
        <v>22</v>
      </c>
      <c r="B19" s="4" t="s">
        <v>96</v>
      </c>
      <c r="C19" s="4">
        <v>328</v>
      </c>
      <c r="D19" s="4">
        <v>7013</v>
      </c>
      <c r="E19" s="10">
        <v>199.78500000000003</v>
      </c>
      <c r="F19" s="9">
        <f>E19/C19+1.6</f>
        <v>2.2091006097560975</v>
      </c>
      <c r="G19" s="8">
        <f>E19/D19</f>
        <v>2.8487808355910457E-2</v>
      </c>
      <c r="H19" s="106">
        <f>D19-E19</f>
        <v>6813.2150000000001</v>
      </c>
    </row>
    <row r="20" spans="1:8" ht="15.75" x14ac:dyDescent="0.25">
      <c r="A20" s="4" t="s">
        <v>39</v>
      </c>
      <c r="B20" s="4" t="s">
        <v>122</v>
      </c>
      <c r="C20" s="4">
        <v>218</v>
      </c>
      <c r="D20" s="4">
        <v>4710</v>
      </c>
      <c r="E20" s="10">
        <v>301.69080000000002</v>
      </c>
      <c r="F20" s="9">
        <f>E20/C20+1.3</f>
        <v>2.6839027522935783</v>
      </c>
      <c r="G20" s="8">
        <f>E20/D20</f>
        <v>6.4053248407643315E-2</v>
      </c>
      <c r="H20" s="106">
        <f>D20-E20</f>
        <v>4408.3091999999997</v>
      </c>
    </row>
    <row r="21" spans="1:8" ht="15.75" x14ac:dyDescent="0.25">
      <c r="A21" s="4" t="s">
        <v>41</v>
      </c>
      <c r="B21" s="4" t="s">
        <v>122</v>
      </c>
      <c r="C21" s="4">
        <v>187</v>
      </c>
      <c r="D21" s="4">
        <v>4053</v>
      </c>
      <c r="E21" s="10">
        <v>128.73239999999998</v>
      </c>
      <c r="F21" s="9">
        <f>E21/C21+2.3</f>
        <v>2.9884085561497322</v>
      </c>
      <c r="G21" s="8">
        <f>E21/D21</f>
        <v>3.1762250185048108E-2</v>
      </c>
      <c r="H21" s="106">
        <f>D21-E21</f>
        <v>3924.2676000000001</v>
      </c>
    </row>
    <row r="22" spans="1:8" ht="15.75" x14ac:dyDescent="0.25">
      <c r="A22" s="4" t="s">
        <v>21</v>
      </c>
      <c r="B22" s="4" t="s">
        <v>122</v>
      </c>
      <c r="C22" s="4">
        <v>165</v>
      </c>
      <c r="D22" s="4">
        <v>3681</v>
      </c>
      <c r="E22" s="10">
        <v>188.1936</v>
      </c>
      <c r="F22" s="9">
        <f>E22/C22+2.7</f>
        <v>3.8405672727272728</v>
      </c>
      <c r="G22" s="8">
        <f>E22/D22</f>
        <v>5.1125672371638141E-2</v>
      </c>
      <c r="H22" s="106">
        <f>D22-E22</f>
        <v>3492.8063999999999</v>
      </c>
    </row>
    <row r="23" spans="1:8" ht="15.75" x14ac:dyDescent="0.25">
      <c r="A23" s="4" t="s">
        <v>20</v>
      </c>
      <c r="B23" s="4" t="s">
        <v>122</v>
      </c>
      <c r="C23" s="4">
        <v>165</v>
      </c>
      <c r="D23" s="4">
        <v>3563</v>
      </c>
      <c r="E23" s="10">
        <v>95</v>
      </c>
      <c r="F23" s="9">
        <f>E23/C23+1.8</f>
        <v>2.375757575757576</v>
      </c>
      <c r="G23" s="8">
        <f>E23/D23</f>
        <v>2.6662924501824305E-2</v>
      </c>
      <c r="H23" s="106">
        <f>D23-E23</f>
        <v>3468</v>
      </c>
    </row>
    <row r="24" spans="1:8" ht="15.75" x14ac:dyDescent="0.25">
      <c r="A24" s="4" t="s">
        <v>52</v>
      </c>
      <c r="B24" s="4" t="s">
        <v>96</v>
      </c>
      <c r="C24" s="4">
        <v>154</v>
      </c>
      <c r="D24" s="4">
        <v>3328</v>
      </c>
      <c r="E24" s="10">
        <v>112.28999999999999</v>
      </c>
      <c r="F24" s="9">
        <f>E24/C24+1</f>
        <v>1.7291558441558441</v>
      </c>
      <c r="G24" s="8">
        <f>E24/D24</f>
        <v>3.3740985576923073E-2</v>
      </c>
      <c r="H24" s="106">
        <f>D24-E24</f>
        <v>3215.71</v>
      </c>
    </row>
    <row r="25" spans="1:8" ht="15.75" x14ac:dyDescent="0.25">
      <c r="A25" s="4" t="s">
        <v>54</v>
      </c>
      <c r="B25" s="4" t="s">
        <v>122</v>
      </c>
      <c r="C25" s="4">
        <v>133</v>
      </c>
      <c r="D25" s="4">
        <v>2817</v>
      </c>
      <c r="E25" s="10">
        <v>122.43600000000001</v>
      </c>
      <c r="F25" s="9">
        <f>E25/C25+2.7</f>
        <v>3.620571428571429</v>
      </c>
      <c r="G25" s="8">
        <f>E25/D25</f>
        <v>4.3463258785942496E-2</v>
      </c>
      <c r="H25" s="106">
        <f>D25-E25</f>
        <v>2694.5639999999999</v>
      </c>
    </row>
    <row r="26" spans="1:8" ht="15.75" x14ac:dyDescent="0.25">
      <c r="A26" s="4" t="s">
        <v>19</v>
      </c>
      <c r="B26" s="4" t="s">
        <v>122</v>
      </c>
      <c r="C26" s="4">
        <v>122</v>
      </c>
      <c r="D26" s="4">
        <v>2670</v>
      </c>
      <c r="E26" s="10">
        <v>396</v>
      </c>
      <c r="F26" s="9">
        <f>E26/C26+1.4</f>
        <v>4.6459016393442623</v>
      </c>
      <c r="G26" s="8">
        <f>E26/D26</f>
        <v>0.14831460674157304</v>
      </c>
      <c r="H26" s="106">
        <f>D26-E26</f>
        <v>2274</v>
      </c>
    </row>
    <row r="27" spans="1:8" ht="15.75" x14ac:dyDescent="0.25">
      <c r="A27" s="4" t="s">
        <v>42</v>
      </c>
      <c r="B27" s="4" t="s">
        <v>122</v>
      </c>
      <c r="C27" s="4">
        <v>86</v>
      </c>
      <c r="D27" s="4">
        <v>1660</v>
      </c>
      <c r="E27" s="10">
        <v>342.25040000000001</v>
      </c>
      <c r="F27" s="9">
        <f>E27/C27+2.2</f>
        <v>6.1796558139534881</v>
      </c>
      <c r="G27" s="8">
        <f>E27/D27</f>
        <v>0.20617493975903614</v>
      </c>
      <c r="H27" s="106">
        <f>D27-E27</f>
        <v>1317.7496000000001</v>
      </c>
    </row>
    <row r="28" spans="1:8" ht="15.75" x14ac:dyDescent="0.25">
      <c r="A28" s="4" t="s">
        <v>40</v>
      </c>
      <c r="B28" s="4" t="s">
        <v>122</v>
      </c>
      <c r="C28" s="4">
        <v>11</v>
      </c>
      <c r="D28" s="4">
        <v>234</v>
      </c>
      <c r="E28" s="10">
        <v>4.0000000000000009</v>
      </c>
      <c r="F28" s="9">
        <f>E28/C28+2.6</f>
        <v>2.9636363636363638</v>
      </c>
      <c r="G28" s="8">
        <f>E28/D28</f>
        <v>1.7094017094017099E-2</v>
      </c>
      <c r="H28" s="106">
        <f>D28-E28</f>
        <v>230</v>
      </c>
    </row>
  </sheetData>
  <sortState xmlns:xlrd2="http://schemas.microsoft.com/office/spreadsheetml/2017/richdata2" ref="A2:H28">
    <sortCondition descending="1" ref="H1:H28"/>
  </sortState>
  <conditionalFormatting sqref="G2:G28">
    <cfRule type="cellIs" dxfId="4" priority="1" operator="greaterThan">
      <formula>0.1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6E34-26C6-4328-97AF-0143393FF7D3}">
  <dimension ref="A1:H27"/>
  <sheetViews>
    <sheetView zoomScale="106" zoomScaleNormal="106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2" width="18.85546875" bestFit="1" customWidth="1"/>
    <col min="3" max="3" width="14.28515625" bestFit="1" customWidth="1"/>
    <col min="4" max="4" width="17.85546875" bestFit="1" customWidth="1"/>
    <col min="5" max="5" width="14.28515625" bestFit="1" customWidth="1"/>
    <col min="6" max="6" width="11.85546875" bestFit="1" customWidth="1"/>
    <col min="8" max="8" width="12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5.75" x14ac:dyDescent="0.25">
      <c r="A2" s="39" t="s">
        <v>129</v>
      </c>
      <c r="B2" s="39" t="s">
        <v>149</v>
      </c>
      <c r="C2" s="74">
        <v>10250</v>
      </c>
      <c r="D2" s="74">
        <v>223208</v>
      </c>
      <c r="E2" s="67">
        <v>10285.526100000003</v>
      </c>
      <c r="F2" s="36">
        <v>2.2034659609756098</v>
      </c>
      <c r="G2" s="49">
        <v>4.6080454553600242E-2</v>
      </c>
      <c r="H2" s="93">
        <f>D2-E2</f>
        <v>212922.47389999998</v>
      </c>
    </row>
    <row r="3" spans="1:8" ht="15.75" x14ac:dyDescent="0.25">
      <c r="A3" s="4" t="s">
        <v>7</v>
      </c>
      <c r="B3" s="4" t="s">
        <v>72</v>
      </c>
      <c r="C3" s="4">
        <v>1077</v>
      </c>
      <c r="D3" s="4">
        <v>24307</v>
      </c>
      <c r="E3" s="10">
        <v>785.74374999999986</v>
      </c>
      <c r="F3" s="9">
        <f>E3/C3+1</f>
        <v>1.7295670844939646</v>
      </c>
      <c r="G3" s="8">
        <f>E3/D3</f>
        <v>3.2325821779734226E-2</v>
      </c>
      <c r="H3" s="93">
        <f>D3-E3</f>
        <v>23521.256249999999</v>
      </c>
    </row>
    <row r="4" spans="1:8" ht="15.75" x14ac:dyDescent="0.25">
      <c r="A4" s="4" t="s">
        <v>13</v>
      </c>
      <c r="B4" s="4" t="s">
        <v>91</v>
      </c>
      <c r="C4" s="4">
        <v>1079</v>
      </c>
      <c r="D4" s="4">
        <v>23804</v>
      </c>
      <c r="E4" s="10">
        <v>2033.8799999999999</v>
      </c>
      <c r="F4" s="9">
        <f>E4/C4+0.1</f>
        <v>1.9849675625579239</v>
      </c>
      <c r="G4" s="8">
        <f>E4/D4</f>
        <v>8.5442782725592331E-2</v>
      </c>
      <c r="H4" s="93">
        <f>D4-E4</f>
        <v>21770.12</v>
      </c>
    </row>
    <row r="5" spans="1:8" ht="15.75" x14ac:dyDescent="0.25">
      <c r="A5" s="4" t="s">
        <v>24</v>
      </c>
      <c r="B5" s="4" t="s">
        <v>91</v>
      </c>
      <c r="C5" s="4">
        <v>758</v>
      </c>
      <c r="D5" s="4">
        <v>16958</v>
      </c>
      <c r="E5" s="10">
        <v>836.94</v>
      </c>
      <c r="F5" s="9">
        <f>E5/C5+0.1</f>
        <v>1.2041424802110821</v>
      </c>
      <c r="G5" s="8">
        <f>E5/D5</f>
        <v>4.9353697369972881E-2</v>
      </c>
      <c r="H5" s="93">
        <f>D5-E5</f>
        <v>16121.06</v>
      </c>
    </row>
    <row r="6" spans="1:8" ht="15.75" x14ac:dyDescent="0.25">
      <c r="A6" s="4" t="s">
        <v>15</v>
      </c>
      <c r="B6" s="4" t="s">
        <v>72</v>
      </c>
      <c r="C6" s="4">
        <v>728</v>
      </c>
      <c r="D6" s="4">
        <v>16422</v>
      </c>
      <c r="E6" s="10">
        <v>396.81760000000003</v>
      </c>
      <c r="F6" s="9">
        <f>E6/C6+3</f>
        <v>3.5450791208791208</v>
      </c>
      <c r="G6" s="8">
        <f>E6/D6</f>
        <v>2.416378029472659E-2</v>
      </c>
      <c r="H6" s="93">
        <f>D6-E6</f>
        <v>16025.1824</v>
      </c>
    </row>
    <row r="7" spans="1:8" ht="15.75" x14ac:dyDescent="0.25">
      <c r="A7" s="4" t="s">
        <v>11</v>
      </c>
      <c r="B7" s="4" t="s">
        <v>72</v>
      </c>
      <c r="C7" s="4">
        <v>667</v>
      </c>
      <c r="D7" s="4">
        <v>14841</v>
      </c>
      <c r="E7" s="10">
        <v>209.85120000000003</v>
      </c>
      <c r="F7" s="9">
        <f>E7/C7+1.9</f>
        <v>2.2146194902548726</v>
      </c>
      <c r="G7" s="8">
        <f>E7/D7</f>
        <v>1.4139963614311706E-2</v>
      </c>
      <c r="H7" s="93">
        <f>D7-E7</f>
        <v>14631.148800000001</v>
      </c>
    </row>
    <row r="8" spans="1:8" ht="15.75" x14ac:dyDescent="0.25">
      <c r="A8" s="4" t="s">
        <v>12</v>
      </c>
      <c r="B8" s="4" t="s">
        <v>127</v>
      </c>
      <c r="C8" s="4">
        <v>791</v>
      </c>
      <c r="D8" s="4">
        <v>14530</v>
      </c>
      <c r="E8" s="10">
        <v>272.89920000000001</v>
      </c>
      <c r="F8" s="9">
        <f>E8/C8+1.5</f>
        <v>1.8450053097345132</v>
      </c>
      <c r="G8" s="8">
        <f>E8/D8</f>
        <v>1.8781775636613905E-2</v>
      </c>
      <c r="H8" s="93">
        <f>D8-E8</f>
        <v>14257.1008</v>
      </c>
    </row>
    <row r="9" spans="1:8" ht="15.75" x14ac:dyDescent="0.25">
      <c r="A9" s="4" t="s">
        <v>59</v>
      </c>
      <c r="B9" s="4" t="s">
        <v>72</v>
      </c>
      <c r="C9" s="4">
        <v>656</v>
      </c>
      <c r="D9" s="4">
        <v>14383</v>
      </c>
      <c r="E9" s="10">
        <v>422.04799999999994</v>
      </c>
      <c r="F9" s="9">
        <f>E9/C9+1.9</f>
        <v>2.5433658536585364</v>
      </c>
      <c r="G9" s="8">
        <f>E9/D9</f>
        <v>2.9343530556907457E-2</v>
      </c>
      <c r="H9" s="93">
        <f>D9-E9</f>
        <v>13960.951999999999</v>
      </c>
    </row>
    <row r="10" spans="1:8" ht="15.75" x14ac:dyDescent="0.25">
      <c r="A10" s="4" t="s">
        <v>6</v>
      </c>
      <c r="B10" s="4" t="s">
        <v>91</v>
      </c>
      <c r="C10" s="4">
        <v>545</v>
      </c>
      <c r="D10" s="4">
        <v>11615</v>
      </c>
      <c r="E10" s="10">
        <v>1103.0160000000001</v>
      </c>
      <c r="F10" s="9">
        <f>E10/C10+0.1</f>
        <v>2.1238825688073395</v>
      </c>
      <c r="G10" s="8">
        <f>E10/D10</f>
        <v>9.4964786913473959E-2</v>
      </c>
      <c r="H10" s="93">
        <f>D10-E10</f>
        <v>10511.984</v>
      </c>
    </row>
    <row r="11" spans="1:8" ht="15.75" x14ac:dyDescent="0.25">
      <c r="A11" s="4" t="s">
        <v>17</v>
      </c>
      <c r="B11" s="4" t="s">
        <v>91</v>
      </c>
      <c r="C11" s="10">
        <v>484</v>
      </c>
      <c r="D11" s="10">
        <v>10670</v>
      </c>
      <c r="E11" s="10">
        <v>551.44799999999998</v>
      </c>
      <c r="F11" s="9">
        <f>E11/C11+0.1</f>
        <v>1.2393553719008266</v>
      </c>
      <c r="G11" s="8">
        <f>E11/D11</f>
        <v>5.1682099343955012E-2</v>
      </c>
      <c r="H11" s="93">
        <f>D11-E11</f>
        <v>10118.552</v>
      </c>
    </row>
    <row r="12" spans="1:8" ht="15.75" x14ac:dyDescent="0.25">
      <c r="A12" s="4" t="s">
        <v>16</v>
      </c>
      <c r="B12" s="4" t="s">
        <v>91</v>
      </c>
      <c r="C12" s="4">
        <v>464</v>
      </c>
      <c r="D12" s="4">
        <v>10376</v>
      </c>
      <c r="E12" s="10">
        <v>1142.508</v>
      </c>
      <c r="F12" s="9">
        <f>E12/C12+0.1</f>
        <v>2.5623017241379311</v>
      </c>
      <c r="G12" s="8">
        <f>E12/D12</f>
        <v>0.1101106399383192</v>
      </c>
      <c r="H12" s="93">
        <f>D12-E12</f>
        <v>9233.4920000000002</v>
      </c>
    </row>
    <row r="13" spans="1:8" ht="15.75" x14ac:dyDescent="0.25">
      <c r="A13" s="4" t="s">
        <v>74</v>
      </c>
      <c r="B13" s="4" t="s">
        <v>72</v>
      </c>
      <c r="C13" s="4">
        <v>401</v>
      </c>
      <c r="D13" s="4">
        <v>8634</v>
      </c>
      <c r="E13" s="10">
        <v>223.66849999999999</v>
      </c>
      <c r="F13" s="9">
        <f>E13/C13+1.8</f>
        <v>2.3577768079800498</v>
      </c>
      <c r="G13" s="8">
        <f>E13/D13</f>
        <v>2.5905547834144081E-2</v>
      </c>
      <c r="H13" s="93">
        <f>D13-E13</f>
        <v>8410.3315000000002</v>
      </c>
    </row>
    <row r="14" spans="1:8" ht="15.75" x14ac:dyDescent="0.25">
      <c r="A14" s="4" t="s">
        <v>47</v>
      </c>
      <c r="B14" s="4" t="s">
        <v>72</v>
      </c>
      <c r="C14" s="4">
        <v>388</v>
      </c>
      <c r="D14" s="4">
        <v>8656</v>
      </c>
      <c r="E14" s="10">
        <v>275.94049999999999</v>
      </c>
      <c r="F14" s="9">
        <f>E14/C14+1.1</f>
        <v>1.8111868556701032</v>
      </c>
      <c r="G14" s="8">
        <f>E14/D14</f>
        <v>3.1878523567467648E-2</v>
      </c>
      <c r="H14" s="93">
        <f>D14-E14</f>
        <v>8380.0594999999994</v>
      </c>
    </row>
    <row r="15" spans="1:8" ht="15.75" x14ac:dyDescent="0.25">
      <c r="A15" s="4" t="s">
        <v>44</v>
      </c>
      <c r="B15" s="4" t="s">
        <v>72</v>
      </c>
      <c r="C15" s="4">
        <v>391</v>
      </c>
      <c r="D15" s="4">
        <v>8590</v>
      </c>
      <c r="E15" s="10">
        <v>259.42400000000004</v>
      </c>
      <c r="F15" s="9">
        <f>E15/C15+0.8</f>
        <v>1.4634884910485935</v>
      </c>
      <c r="G15" s="8">
        <f>E15/D15</f>
        <v>3.0200698486612346E-2</v>
      </c>
      <c r="H15" s="93">
        <f>D15-E15</f>
        <v>8330.5759999999991</v>
      </c>
    </row>
    <row r="16" spans="1:8" ht="15.75" x14ac:dyDescent="0.25">
      <c r="A16" s="4" t="s">
        <v>55</v>
      </c>
      <c r="B16" s="4" t="s">
        <v>72</v>
      </c>
      <c r="C16" s="4">
        <v>326</v>
      </c>
      <c r="D16" s="4">
        <v>7232</v>
      </c>
      <c r="E16" s="10">
        <v>156.12025</v>
      </c>
      <c r="F16" s="9">
        <f>E16/C16+1.9</f>
        <v>2.378896472392638</v>
      </c>
      <c r="G16" s="8">
        <f>E16/D16</f>
        <v>2.1587423949115045E-2</v>
      </c>
      <c r="H16" s="93">
        <f>D16-E16</f>
        <v>7075.8797500000001</v>
      </c>
    </row>
    <row r="17" spans="1:8" ht="15.75" x14ac:dyDescent="0.25">
      <c r="A17" s="4" t="s">
        <v>31</v>
      </c>
      <c r="B17" s="4" t="s">
        <v>127</v>
      </c>
      <c r="C17" s="4">
        <v>324</v>
      </c>
      <c r="D17" s="4">
        <v>6689</v>
      </c>
      <c r="E17" s="10">
        <v>213.7072</v>
      </c>
      <c r="F17" s="9">
        <f>E17/C17+1.9</f>
        <v>2.5595901234567902</v>
      </c>
      <c r="G17" s="8">
        <f>E17/D17</f>
        <v>3.1949050680221261E-2</v>
      </c>
      <c r="H17" s="93">
        <f>D17-E17</f>
        <v>6475.2928000000002</v>
      </c>
    </row>
    <row r="18" spans="1:8" ht="15.75" x14ac:dyDescent="0.25">
      <c r="A18" s="4" t="s">
        <v>9</v>
      </c>
      <c r="B18" s="4" t="s">
        <v>72</v>
      </c>
      <c r="C18" s="4">
        <v>281</v>
      </c>
      <c r="D18" s="4">
        <v>6233</v>
      </c>
      <c r="E18" s="10">
        <v>196.488</v>
      </c>
      <c r="F18" s="9">
        <f>E18/C18+2.1</f>
        <v>2.7992455516014236</v>
      </c>
      <c r="G18" s="8">
        <f>E18/D18</f>
        <v>3.1523824803465425E-2</v>
      </c>
      <c r="H18" s="93">
        <f>D18-E18</f>
        <v>6036.5119999999997</v>
      </c>
    </row>
    <row r="19" spans="1:8" ht="15.75" x14ac:dyDescent="0.25">
      <c r="A19" s="4" t="s">
        <v>22</v>
      </c>
      <c r="B19" s="4" t="s">
        <v>72</v>
      </c>
      <c r="C19" s="4">
        <v>233</v>
      </c>
      <c r="D19" s="4">
        <v>5011</v>
      </c>
      <c r="E19" s="10">
        <v>103.21299999999999</v>
      </c>
      <c r="F19" s="9">
        <f>E19/C19+1.6</f>
        <v>2.0429742489270386</v>
      </c>
      <c r="G19" s="8">
        <f>E19/D19</f>
        <v>2.0597285970864097E-2</v>
      </c>
      <c r="H19" s="93">
        <f>D19-E19</f>
        <v>4907.7870000000003</v>
      </c>
    </row>
    <row r="20" spans="1:8" ht="15.75" x14ac:dyDescent="0.25">
      <c r="A20" s="4" t="s">
        <v>39</v>
      </c>
      <c r="B20" s="4" t="s">
        <v>127</v>
      </c>
      <c r="C20" s="4">
        <v>150</v>
      </c>
      <c r="D20" s="4">
        <v>3210</v>
      </c>
      <c r="E20" s="10">
        <v>210.22120000000001</v>
      </c>
      <c r="F20" s="9">
        <f>E20/C20+1.3</f>
        <v>2.7014746666666669</v>
      </c>
      <c r="G20" s="8">
        <f>E20/D20</f>
        <v>6.5489470404984429E-2</v>
      </c>
      <c r="H20" s="93">
        <f>D20-E20</f>
        <v>2999.7788</v>
      </c>
    </row>
    <row r="21" spans="1:8" ht="15.75" x14ac:dyDescent="0.25">
      <c r="A21" s="4" t="s">
        <v>41</v>
      </c>
      <c r="B21" s="4" t="s">
        <v>127</v>
      </c>
      <c r="C21" s="4">
        <v>129</v>
      </c>
      <c r="D21" s="4">
        <v>2779</v>
      </c>
      <c r="E21" s="10">
        <v>155.58199999999999</v>
      </c>
      <c r="F21" s="9">
        <f>E21/C21+2.3</f>
        <v>3.5060620155038755</v>
      </c>
      <c r="G21" s="8">
        <f>E21/D21</f>
        <v>5.5984886649874055E-2</v>
      </c>
      <c r="H21" s="93">
        <f>D21-E21</f>
        <v>2623.4180000000001</v>
      </c>
    </row>
    <row r="22" spans="1:8" ht="15.75" x14ac:dyDescent="0.25">
      <c r="A22" s="4" t="s">
        <v>52</v>
      </c>
      <c r="B22" s="4" t="s">
        <v>72</v>
      </c>
      <c r="C22" s="4">
        <v>102</v>
      </c>
      <c r="D22" s="4">
        <v>2264</v>
      </c>
      <c r="E22" s="10">
        <v>102.4265</v>
      </c>
      <c r="F22" s="9">
        <f>E22/C22+1</f>
        <v>2.0041813725490196</v>
      </c>
      <c r="G22" s="8">
        <f>E22/D22</f>
        <v>4.5241386925795053E-2</v>
      </c>
      <c r="H22" s="93">
        <f>D22-E22</f>
        <v>2161.5735</v>
      </c>
    </row>
    <row r="23" spans="1:8" ht="15.75" x14ac:dyDescent="0.25">
      <c r="A23" s="4" t="s">
        <v>21</v>
      </c>
      <c r="B23" s="4" t="s">
        <v>127</v>
      </c>
      <c r="C23" s="4">
        <v>106</v>
      </c>
      <c r="D23" s="4">
        <v>2357</v>
      </c>
      <c r="E23" s="10">
        <v>224.03359999999998</v>
      </c>
      <c r="F23" s="9">
        <f>E23/C23+2.7</f>
        <v>4.8135245283018868</v>
      </c>
      <c r="G23" s="8">
        <f>E23/D23</f>
        <v>9.5050318201103087E-2</v>
      </c>
      <c r="H23" s="93">
        <f>D23-E23</f>
        <v>2132.9664000000002</v>
      </c>
    </row>
    <row r="24" spans="1:8" ht="15.75" x14ac:dyDescent="0.25">
      <c r="A24" s="4" t="s">
        <v>19</v>
      </c>
      <c r="B24" s="4" t="s">
        <v>72</v>
      </c>
      <c r="C24" s="4">
        <v>72</v>
      </c>
      <c r="D24" s="4">
        <v>1588</v>
      </c>
      <c r="E24" s="10">
        <v>193.6</v>
      </c>
      <c r="F24" s="9">
        <f>E24/C24+1.4</f>
        <v>4.0888888888888886</v>
      </c>
      <c r="G24" s="8">
        <f>E24/D24</f>
        <v>0.12191435768261964</v>
      </c>
      <c r="H24" s="93">
        <f>D24-E24</f>
        <v>1394.4</v>
      </c>
    </row>
    <row r="25" spans="1:8" ht="15.75" x14ac:dyDescent="0.25">
      <c r="A25" s="4" t="s">
        <v>54</v>
      </c>
      <c r="B25" s="4" t="s">
        <v>127</v>
      </c>
      <c r="C25" s="4">
        <v>52</v>
      </c>
      <c r="D25" s="4">
        <v>1164</v>
      </c>
      <c r="E25" s="10">
        <v>10.536399999999999</v>
      </c>
      <c r="F25" s="9">
        <f>E25/C25+2.7</f>
        <v>2.902623076923077</v>
      </c>
      <c r="G25" s="8">
        <f>E25/D25</f>
        <v>9.0518900343642596E-3</v>
      </c>
      <c r="H25" s="93">
        <f>D25-E25</f>
        <v>1153.4636</v>
      </c>
    </row>
    <row r="26" spans="1:8" ht="15.75" x14ac:dyDescent="0.25">
      <c r="A26" s="4" t="s">
        <v>42</v>
      </c>
      <c r="B26" s="4" t="s">
        <v>127</v>
      </c>
      <c r="C26" s="4">
        <v>42</v>
      </c>
      <c r="D26" s="4">
        <v>811</v>
      </c>
      <c r="E26" s="10">
        <v>183.41320000000002</v>
      </c>
      <c r="F26" s="9">
        <f>E26/C26+2.2</f>
        <v>6.5669809523809528</v>
      </c>
      <c r="G26" s="8">
        <f>E26/D26</f>
        <v>0.22615684340320594</v>
      </c>
      <c r="H26" s="93">
        <f>D26-E26</f>
        <v>627.58680000000004</v>
      </c>
    </row>
    <row r="27" spans="1:8" ht="15.75" x14ac:dyDescent="0.25">
      <c r="A27" s="4" t="s">
        <v>40</v>
      </c>
      <c r="B27" s="4" t="s">
        <v>127</v>
      </c>
      <c r="C27" s="4">
        <v>4</v>
      </c>
      <c r="D27" s="4">
        <v>84</v>
      </c>
      <c r="E27" s="10">
        <v>21.999999999999972</v>
      </c>
      <c r="F27" s="9">
        <f>E27/C27+2.6</f>
        <v>8.0999999999999925</v>
      </c>
      <c r="G27" s="8">
        <f>E27/D27</f>
        <v>0.26190476190476158</v>
      </c>
      <c r="H27" s="93">
        <f>D27-E27</f>
        <v>62.000000000000028</v>
      </c>
    </row>
  </sheetData>
  <sortState xmlns:xlrd2="http://schemas.microsoft.com/office/spreadsheetml/2017/richdata2" ref="A2:H27">
    <sortCondition descending="1" ref="H1:H27"/>
  </sortState>
  <conditionalFormatting sqref="G2:G27">
    <cfRule type="cellIs" dxfId="3" priority="1" operator="greaterThan">
      <formula>0.1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0A03-6680-48E3-A0D2-1EF8505CAF0D}">
  <dimension ref="A1:H31"/>
  <sheetViews>
    <sheetView zoomScaleNormal="100" workbookViewId="0">
      <pane ySplit="1" topLeftCell="A2" activePane="bottomLeft" state="frozen"/>
      <selection pane="bottomLeft" activeCell="H3" sqref="H3:H5"/>
    </sheetView>
  </sheetViews>
  <sheetFormatPr defaultRowHeight="15" x14ac:dyDescent="0.25"/>
  <cols>
    <col min="1" max="1" width="18.85546875" bestFit="1" customWidth="1"/>
    <col min="2" max="2" width="21" bestFit="1" customWidth="1"/>
    <col min="3" max="3" width="14" bestFit="1" customWidth="1"/>
    <col min="4" max="4" width="18" bestFit="1" customWidth="1"/>
    <col min="5" max="5" width="13.85546875" bestFit="1" customWidth="1"/>
    <col min="6" max="6" width="11.7109375" bestFit="1" customWidth="1"/>
    <col min="8" max="8" width="11.5703125" bestFit="1" customWidth="1"/>
  </cols>
  <sheetData>
    <row r="1" spans="1:8" ht="15.75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126</v>
      </c>
      <c r="H1" s="108" t="s">
        <v>159</v>
      </c>
    </row>
    <row r="2" spans="1:8" ht="15.75" x14ac:dyDescent="0.25">
      <c r="A2" s="39" t="s">
        <v>129</v>
      </c>
      <c r="B2" s="39" t="s">
        <v>150</v>
      </c>
      <c r="C2" s="39">
        <v>11412</v>
      </c>
      <c r="D2" s="39">
        <v>283894</v>
      </c>
      <c r="E2" s="67">
        <v>50538.5939</v>
      </c>
      <c r="F2" s="36">
        <f>4.42854836137399+1.2</f>
        <v>5.6285483613739906</v>
      </c>
      <c r="G2" s="49">
        <v>0.17801923922308999</v>
      </c>
      <c r="H2" s="107">
        <f>D2-E2</f>
        <v>233355.40609999999</v>
      </c>
    </row>
    <row r="3" spans="1:8" ht="15.75" x14ac:dyDescent="0.25">
      <c r="A3" s="4" t="s">
        <v>13</v>
      </c>
      <c r="B3" s="4" t="s">
        <v>25</v>
      </c>
      <c r="C3" s="4">
        <v>2262</v>
      </c>
      <c r="D3" s="4">
        <v>55087</v>
      </c>
      <c r="E3" s="10">
        <v>6165.4737599999999</v>
      </c>
      <c r="F3" s="9">
        <f>E3/C3+0.1</f>
        <v>2.8256736339522548</v>
      </c>
      <c r="G3" s="8">
        <f>E3/D3</f>
        <v>0.11192248189227948</v>
      </c>
      <c r="H3" s="107">
        <f>D3-E3</f>
        <v>48921.526239999999</v>
      </c>
    </row>
    <row r="4" spans="1:8" ht="15.75" x14ac:dyDescent="0.25">
      <c r="A4" s="4" t="s">
        <v>7</v>
      </c>
      <c r="B4" s="4" t="s">
        <v>75</v>
      </c>
      <c r="C4" s="4">
        <v>1005</v>
      </c>
      <c r="D4" s="4">
        <v>24515</v>
      </c>
      <c r="E4" s="10">
        <v>2917.8649999999998</v>
      </c>
      <c r="F4" s="9">
        <f>E4/C4+1</f>
        <v>3.9033482587064676</v>
      </c>
      <c r="G4" s="8">
        <f>E4/D4</f>
        <v>0.11902365898429532</v>
      </c>
      <c r="H4" s="107">
        <f>D4-E4</f>
        <v>21597.135000000002</v>
      </c>
    </row>
    <row r="5" spans="1:8" ht="15.75" x14ac:dyDescent="0.25">
      <c r="A5" s="4" t="s">
        <v>11</v>
      </c>
      <c r="B5" s="4" t="s">
        <v>75</v>
      </c>
      <c r="C5" s="4">
        <v>689</v>
      </c>
      <c r="D5" s="4">
        <v>17577</v>
      </c>
      <c r="E5" s="10">
        <v>2386.4935599999999</v>
      </c>
      <c r="F5" s="9">
        <f>E5/C5+1.9</f>
        <v>5.3637061828737291</v>
      </c>
      <c r="G5" s="8">
        <f>E5/D5</f>
        <v>0.13577365648290379</v>
      </c>
      <c r="H5" s="107">
        <f>D5-E5</f>
        <v>15190.506440000001</v>
      </c>
    </row>
    <row r="6" spans="1:8" ht="15.75" x14ac:dyDescent="0.25">
      <c r="A6" s="4" t="s">
        <v>59</v>
      </c>
      <c r="B6" s="4" t="s">
        <v>75</v>
      </c>
      <c r="C6" s="4">
        <v>647</v>
      </c>
      <c r="D6" s="4">
        <v>16508</v>
      </c>
      <c r="E6" s="10">
        <v>1728.2674999999997</v>
      </c>
      <c r="F6" s="9">
        <f>E6/C6+1.3</f>
        <v>3.971201700154559</v>
      </c>
      <c r="G6" s="8">
        <f>E6/D6</f>
        <v>0.10469272473952021</v>
      </c>
      <c r="H6" s="107">
        <f>D6-E6</f>
        <v>14779.7325</v>
      </c>
    </row>
    <row r="7" spans="1:8" ht="15.75" x14ac:dyDescent="0.25">
      <c r="A7" s="4" t="s">
        <v>15</v>
      </c>
      <c r="B7" s="4" t="s">
        <v>75</v>
      </c>
      <c r="C7" s="4">
        <v>724</v>
      </c>
      <c r="D7" s="4">
        <v>18863</v>
      </c>
      <c r="E7" s="10">
        <v>4332</v>
      </c>
      <c r="F7" s="9">
        <f>E7/C7+3</f>
        <v>8.9834254143646408</v>
      </c>
      <c r="G7" s="8">
        <f>E7/D7</f>
        <v>0.22965594020039229</v>
      </c>
      <c r="H7" s="107">
        <f>D7-E7</f>
        <v>14531</v>
      </c>
    </row>
    <row r="8" spans="1:8" ht="15.75" x14ac:dyDescent="0.25">
      <c r="A8" s="4" t="s">
        <v>47</v>
      </c>
      <c r="B8" s="4" t="s">
        <v>75</v>
      </c>
      <c r="C8" s="4">
        <v>642</v>
      </c>
      <c r="D8" s="4">
        <v>16534</v>
      </c>
      <c r="E8" s="10">
        <v>2792.7424999999998</v>
      </c>
      <c r="F8" s="9">
        <f>E8/C8+1.9</f>
        <v>6.2500661993769473</v>
      </c>
      <c r="G8" s="8">
        <f>E8/D8</f>
        <v>0.16890906616668683</v>
      </c>
      <c r="H8" s="107">
        <f>D8-E8</f>
        <v>13741.2575</v>
      </c>
    </row>
    <row r="9" spans="1:8" ht="15.75" x14ac:dyDescent="0.25">
      <c r="A9" s="4" t="s">
        <v>24</v>
      </c>
      <c r="B9" s="4" t="s">
        <v>25</v>
      </c>
      <c r="C9" s="4">
        <v>520</v>
      </c>
      <c r="D9" s="4">
        <v>13147</v>
      </c>
      <c r="E9" s="10">
        <v>1386.8495999999998</v>
      </c>
      <c r="F9" s="9">
        <f>E9/C9+0.1</f>
        <v>2.7670184615384614</v>
      </c>
      <c r="G9" s="8">
        <f>E9/D9</f>
        <v>0.10548791359245453</v>
      </c>
      <c r="H9" s="107">
        <f>D9-E9</f>
        <v>11760.1504</v>
      </c>
    </row>
    <row r="10" spans="1:8" ht="15.75" x14ac:dyDescent="0.25">
      <c r="A10" s="4" t="s">
        <v>6</v>
      </c>
      <c r="B10" s="4" t="s">
        <v>25</v>
      </c>
      <c r="C10" s="4">
        <v>523</v>
      </c>
      <c r="D10" s="4">
        <v>13211</v>
      </c>
      <c r="E10" s="10">
        <v>2583.0705600000006</v>
      </c>
      <c r="F10" s="9">
        <f>E10/C10+0.1</f>
        <v>5.0389494455066925</v>
      </c>
      <c r="G10" s="8">
        <f>E10/D10</f>
        <v>0.19552422678071307</v>
      </c>
      <c r="H10" s="107">
        <f>D10-E10</f>
        <v>10627.92944</v>
      </c>
    </row>
    <row r="11" spans="1:8" ht="15.75" x14ac:dyDescent="0.25">
      <c r="A11" s="4" t="s">
        <v>18</v>
      </c>
      <c r="B11" s="4" t="s">
        <v>121</v>
      </c>
      <c r="C11" s="4">
        <v>507</v>
      </c>
      <c r="D11" s="4">
        <v>12079</v>
      </c>
      <c r="E11" s="10">
        <v>2483.7059999999997</v>
      </c>
      <c r="F11" s="9">
        <f>E11/C11+1.1</f>
        <v>5.998828402366863</v>
      </c>
      <c r="G11" s="8">
        <f>E11/D11</f>
        <v>0.20562182299859258</v>
      </c>
      <c r="H11" s="107">
        <f>D11-E11</f>
        <v>9595.2939999999999</v>
      </c>
    </row>
    <row r="12" spans="1:8" ht="15.75" x14ac:dyDescent="0.25">
      <c r="A12" s="4" t="s">
        <v>44</v>
      </c>
      <c r="B12" s="4" t="s">
        <v>75</v>
      </c>
      <c r="C12" s="4">
        <v>436</v>
      </c>
      <c r="D12" s="4">
        <v>11020</v>
      </c>
      <c r="E12" s="10">
        <v>1920.8275000000003</v>
      </c>
      <c r="F12" s="9">
        <f>E12/C12+0.8</f>
        <v>5.2055676605504591</v>
      </c>
      <c r="G12" s="8">
        <f>E12/D12</f>
        <v>0.17430376588021781</v>
      </c>
      <c r="H12" s="107">
        <f>D12-E12</f>
        <v>9099.1725000000006</v>
      </c>
    </row>
    <row r="13" spans="1:8" ht="15.75" x14ac:dyDescent="0.25">
      <c r="A13" s="4" t="s">
        <v>17</v>
      </c>
      <c r="B13" s="4" t="s">
        <v>25</v>
      </c>
      <c r="C13" s="4">
        <v>434</v>
      </c>
      <c r="D13" s="4">
        <v>10661</v>
      </c>
      <c r="E13" s="10">
        <v>2073.2371199999998</v>
      </c>
      <c r="F13" s="9">
        <f>E13/C13+0.1</f>
        <v>4.877044055299538</v>
      </c>
      <c r="G13" s="8">
        <f>E13/D13</f>
        <v>0.19446929181127473</v>
      </c>
      <c r="H13" s="107">
        <f>D13-E13</f>
        <v>8587.7628800000002</v>
      </c>
    </row>
    <row r="14" spans="1:8" ht="15.75" x14ac:dyDescent="0.25">
      <c r="A14" s="4" t="s">
        <v>74</v>
      </c>
      <c r="B14" s="4" t="s">
        <v>75</v>
      </c>
      <c r="C14" s="4">
        <v>451</v>
      </c>
      <c r="D14" s="4">
        <v>10841</v>
      </c>
      <c r="E14" s="10">
        <v>2377.5349999999999</v>
      </c>
      <c r="F14" s="9">
        <f>E14/C14+1.8</f>
        <v>7.0716962305986693</v>
      </c>
      <c r="G14" s="8">
        <f>E14/D14</f>
        <v>0.21930956553823447</v>
      </c>
      <c r="H14" s="107">
        <f>D14-E14</f>
        <v>8463.4650000000001</v>
      </c>
    </row>
    <row r="15" spans="1:8" ht="15.75" x14ac:dyDescent="0.25">
      <c r="A15" s="4" t="s">
        <v>55</v>
      </c>
      <c r="B15" s="4" t="s">
        <v>75</v>
      </c>
      <c r="C15" s="4">
        <v>327</v>
      </c>
      <c r="D15" s="4">
        <v>8100</v>
      </c>
      <c r="E15" s="10">
        <v>1234.21</v>
      </c>
      <c r="F15" s="9">
        <f>E15/C15+1.9</f>
        <v>5.6743425076452603</v>
      </c>
      <c r="G15" s="8">
        <f>E15/D15</f>
        <v>0.15237160493827162</v>
      </c>
      <c r="H15" s="107">
        <f>D15-E15</f>
        <v>6865.79</v>
      </c>
    </row>
    <row r="16" spans="1:8" ht="15.75" x14ac:dyDescent="0.25">
      <c r="A16" s="4" t="s">
        <v>16</v>
      </c>
      <c r="B16" s="4" t="s">
        <v>25</v>
      </c>
      <c r="C16" s="4">
        <v>321</v>
      </c>
      <c r="D16" s="4">
        <v>8293</v>
      </c>
      <c r="E16" s="10">
        <v>3208.9608000000003</v>
      </c>
      <c r="F16" s="9">
        <f>E16/C16+0.1</f>
        <v>10.09676261682243</v>
      </c>
      <c r="G16" s="8">
        <f>E16/D16</f>
        <v>0.38694812492463526</v>
      </c>
      <c r="H16" s="107">
        <f>D16-E16</f>
        <v>5084.0391999999993</v>
      </c>
    </row>
    <row r="17" spans="1:8" ht="15.75" x14ac:dyDescent="0.25">
      <c r="A17" s="4" t="s">
        <v>9</v>
      </c>
      <c r="B17" s="4" t="s">
        <v>75</v>
      </c>
      <c r="C17" s="4">
        <v>229</v>
      </c>
      <c r="D17" s="4">
        <v>5784</v>
      </c>
      <c r="E17" s="10">
        <v>846.72749999999996</v>
      </c>
      <c r="F17" s="9">
        <f>E17/C17+2.1</f>
        <v>5.7974999999999994</v>
      </c>
      <c r="G17" s="8">
        <f>E17/D17</f>
        <v>0.14639133817427386</v>
      </c>
      <c r="H17" s="107">
        <f>D17-E17</f>
        <v>4937.2725</v>
      </c>
    </row>
    <row r="18" spans="1:8" ht="15.75" x14ac:dyDescent="0.25">
      <c r="A18" s="4" t="s">
        <v>12</v>
      </c>
      <c r="B18" s="4" t="s">
        <v>121</v>
      </c>
      <c r="C18" s="4">
        <v>258</v>
      </c>
      <c r="D18" s="4">
        <v>6465</v>
      </c>
      <c r="E18" s="10">
        <v>2001.546</v>
      </c>
      <c r="F18" s="9">
        <f>E18/C18+1.5</f>
        <v>9.2579302325581398</v>
      </c>
      <c r="G18" s="8">
        <f>E18/D18</f>
        <v>0.30959721577726218</v>
      </c>
      <c r="H18" s="107">
        <f>D18-E18</f>
        <v>4463.4539999999997</v>
      </c>
    </row>
    <row r="19" spans="1:8" ht="15.75" x14ac:dyDescent="0.25">
      <c r="A19" s="4" t="s">
        <v>31</v>
      </c>
      <c r="B19" s="4" t="s">
        <v>121</v>
      </c>
      <c r="C19" s="4">
        <v>217</v>
      </c>
      <c r="D19" s="4">
        <v>5488</v>
      </c>
      <c r="E19" s="10">
        <v>1440</v>
      </c>
      <c r="F19" s="9">
        <f>E19/C19+1.9</f>
        <v>8.5359447004608295</v>
      </c>
      <c r="G19" s="8">
        <f>E19/D19</f>
        <v>0.26239067055393583</v>
      </c>
      <c r="H19" s="107">
        <f>D19-E19</f>
        <v>4048</v>
      </c>
    </row>
    <row r="20" spans="1:8" ht="15.75" x14ac:dyDescent="0.25">
      <c r="A20" s="4" t="s">
        <v>41</v>
      </c>
      <c r="B20" s="4" t="s">
        <v>121</v>
      </c>
      <c r="C20" s="4">
        <v>169</v>
      </c>
      <c r="D20" s="4">
        <v>4193</v>
      </c>
      <c r="E20" s="10">
        <v>1017.3180000000001</v>
      </c>
      <c r="F20" s="9">
        <f>E20/C20+2.3</f>
        <v>8.3196331360946747</v>
      </c>
      <c r="G20" s="8">
        <f>E20/D20</f>
        <v>0.24262294300023851</v>
      </c>
      <c r="H20" s="107">
        <f>D20-E20</f>
        <v>3175.6819999999998</v>
      </c>
    </row>
    <row r="21" spans="1:8" ht="15.75" x14ac:dyDescent="0.25">
      <c r="A21" s="4" t="s">
        <v>22</v>
      </c>
      <c r="B21" s="4" t="s">
        <v>75</v>
      </c>
      <c r="C21" s="4">
        <v>160</v>
      </c>
      <c r="D21" s="4">
        <v>3846</v>
      </c>
      <c r="E21" s="10">
        <v>765.4675000000002</v>
      </c>
      <c r="F21" s="9">
        <f>E21/C21+1.6</f>
        <v>6.3841718750000016</v>
      </c>
      <c r="G21" s="8">
        <f>E21/D21</f>
        <v>0.19902951118044726</v>
      </c>
      <c r="H21" s="107">
        <f>D21-E21</f>
        <v>3080.5324999999998</v>
      </c>
    </row>
    <row r="22" spans="1:8" ht="15.75" x14ac:dyDescent="0.25">
      <c r="A22" s="4" t="s">
        <v>35</v>
      </c>
      <c r="B22" s="4" t="s">
        <v>121</v>
      </c>
      <c r="C22" s="4">
        <v>151</v>
      </c>
      <c r="D22" s="4">
        <v>3854</v>
      </c>
      <c r="E22" s="10">
        <v>1255.7459999999999</v>
      </c>
      <c r="F22" s="9">
        <f>E22/C22+1.9</f>
        <v>10.216198675496688</v>
      </c>
      <c r="G22" s="8">
        <f>E22/D22</f>
        <v>0.32582926829268288</v>
      </c>
      <c r="H22" s="107">
        <f>D22-E22</f>
        <v>2598.2539999999999</v>
      </c>
    </row>
    <row r="23" spans="1:8" ht="15.75" x14ac:dyDescent="0.25">
      <c r="A23" s="4" t="s">
        <v>39</v>
      </c>
      <c r="B23" s="4" t="s">
        <v>121</v>
      </c>
      <c r="C23" s="4">
        <v>125</v>
      </c>
      <c r="D23" s="4">
        <v>2902</v>
      </c>
      <c r="E23" s="10">
        <v>797.23799999999983</v>
      </c>
      <c r="F23" s="9">
        <f>E23/C23+1.3</f>
        <v>7.6779039999999981</v>
      </c>
      <c r="G23" s="8">
        <f>E23/D23</f>
        <v>0.27472019297036521</v>
      </c>
      <c r="H23" s="107">
        <f>D23-E23</f>
        <v>2104.7620000000002</v>
      </c>
    </row>
    <row r="24" spans="1:8" ht="15.75" x14ac:dyDescent="0.25">
      <c r="A24" s="4" t="s">
        <v>54</v>
      </c>
      <c r="B24" s="4" t="s">
        <v>121</v>
      </c>
      <c r="C24" s="4">
        <v>110</v>
      </c>
      <c r="D24" s="4">
        <v>2344</v>
      </c>
      <c r="E24" s="10">
        <v>330.75</v>
      </c>
      <c r="F24" s="9">
        <f>E24/C24+2.7</f>
        <v>5.706818181818182</v>
      </c>
      <c r="G24" s="8">
        <f>E24/D24</f>
        <v>0.14110494880546076</v>
      </c>
      <c r="H24" s="107">
        <f>D24-E24</f>
        <v>2013.25</v>
      </c>
    </row>
    <row r="25" spans="1:8" ht="15.75" x14ac:dyDescent="0.25">
      <c r="A25" s="4" t="s">
        <v>21</v>
      </c>
      <c r="B25" s="4" t="s">
        <v>121</v>
      </c>
      <c r="C25" s="4">
        <v>101</v>
      </c>
      <c r="D25" s="4">
        <v>2658</v>
      </c>
      <c r="E25" s="10">
        <v>1120.2180000000001</v>
      </c>
      <c r="F25" s="9">
        <f>E25/C25+2.7</f>
        <v>13.791267326732672</v>
      </c>
      <c r="G25" s="8">
        <f>E25/D25</f>
        <v>0.42145146726862304</v>
      </c>
      <c r="H25" s="107">
        <f>D25-E25</f>
        <v>1537.7819999999999</v>
      </c>
    </row>
    <row r="26" spans="1:8" ht="15.75" x14ac:dyDescent="0.25">
      <c r="A26" s="4" t="s">
        <v>20</v>
      </c>
      <c r="B26" s="4" t="s">
        <v>121</v>
      </c>
      <c r="C26" s="4">
        <v>89</v>
      </c>
      <c r="D26" s="4">
        <v>2230</v>
      </c>
      <c r="E26" s="10">
        <v>747.05399999999986</v>
      </c>
      <c r="F26" s="9">
        <f>E26/C26+1.8</f>
        <v>10.193865168539325</v>
      </c>
      <c r="G26" s="8">
        <f>E26/D26</f>
        <v>0.33500179372197303</v>
      </c>
      <c r="H26" s="107">
        <f>D26-E26</f>
        <v>1482.9460000000001</v>
      </c>
    </row>
    <row r="27" spans="1:8" ht="15.75" x14ac:dyDescent="0.25">
      <c r="A27" s="4" t="s">
        <v>19</v>
      </c>
      <c r="B27" s="4" t="s">
        <v>75</v>
      </c>
      <c r="C27" s="4">
        <v>73</v>
      </c>
      <c r="D27" s="4">
        <v>1862</v>
      </c>
      <c r="E27" s="10">
        <v>430.16</v>
      </c>
      <c r="F27" s="9">
        <f>E27/C27+1.4</f>
        <v>7.2926027397260285</v>
      </c>
      <c r="G27" s="8">
        <f>E27/D27</f>
        <v>0.23102040816326533</v>
      </c>
      <c r="H27" s="107">
        <f>D27-E27</f>
        <v>1431.84</v>
      </c>
    </row>
    <row r="28" spans="1:8" ht="15.75" x14ac:dyDescent="0.25">
      <c r="A28" s="4" t="s">
        <v>50</v>
      </c>
      <c r="B28" s="4" t="s">
        <v>121</v>
      </c>
      <c r="C28" s="4">
        <v>65</v>
      </c>
      <c r="D28" s="4">
        <v>1486</v>
      </c>
      <c r="E28" s="10">
        <v>127.00799999999998</v>
      </c>
      <c r="F28" s="9">
        <f>E28/C28+4</f>
        <v>5.9539692307692302</v>
      </c>
      <c r="G28" s="8">
        <f>E28/D28</f>
        <v>8.5469717362045741E-2</v>
      </c>
      <c r="H28" s="107">
        <f>D28-E28</f>
        <v>1358.992</v>
      </c>
    </row>
    <row r="29" spans="1:8" ht="15.75" x14ac:dyDescent="0.25">
      <c r="A29" s="4" t="s">
        <v>8</v>
      </c>
      <c r="B29" s="4" t="s">
        <v>121</v>
      </c>
      <c r="C29" s="4">
        <v>93</v>
      </c>
      <c r="D29" s="4">
        <v>2422</v>
      </c>
      <c r="E29" s="10">
        <v>1291.1219999999998</v>
      </c>
      <c r="F29" s="9">
        <f>E29/C29+4</f>
        <v>17.883032258064514</v>
      </c>
      <c r="G29" s="8">
        <f>E29/D29</f>
        <v>0.5330809248554913</v>
      </c>
      <c r="H29" s="107">
        <f>D29-E29</f>
        <v>1130.8780000000002</v>
      </c>
    </row>
    <row r="30" spans="1:8" ht="15.75" x14ac:dyDescent="0.25">
      <c r="A30" s="4" t="s">
        <v>42</v>
      </c>
      <c r="B30" s="4" t="s">
        <v>121</v>
      </c>
      <c r="C30" s="4">
        <v>64</v>
      </c>
      <c r="D30" s="4">
        <v>1438</v>
      </c>
      <c r="E30" s="10">
        <v>587</v>
      </c>
      <c r="F30" s="9">
        <f>E30/C30+2.2</f>
        <v>11.371874999999999</v>
      </c>
      <c r="G30" s="8">
        <f>E30/D30</f>
        <v>0.40820584144645339</v>
      </c>
      <c r="H30" s="107">
        <f>D30-E30</f>
        <v>851</v>
      </c>
    </row>
    <row r="31" spans="1:8" ht="15.75" x14ac:dyDescent="0.25">
      <c r="A31" s="4" t="s">
        <v>40</v>
      </c>
      <c r="B31" s="4" t="s">
        <v>121</v>
      </c>
      <c r="C31" s="4">
        <v>20</v>
      </c>
      <c r="D31" s="4">
        <v>486</v>
      </c>
      <c r="E31" s="10">
        <v>190</v>
      </c>
      <c r="F31" s="9">
        <f>E31/C31+2.6</f>
        <v>12.1</v>
      </c>
      <c r="G31" s="8">
        <f>E31/D31</f>
        <v>0.39094650205761317</v>
      </c>
      <c r="H31" s="107">
        <f>D31-E31</f>
        <v>296</v>
      </c>
    </row>
  </sheetData>
  <sortState xmlns:xlrd2="http://schemas.microsoft.com/office/spreadsheetml/2017/richdata2" ref="A2:H31">
    <sortCondition descending="1" ref="H1:H31"/>
  </sortState>
  <phoneticPr fontId="5" type="noConversion"/>
  <conditionalFormatting sqref="G2:G31">
    <cfRule type="cellIs" dxfId="2" priority="1" operator="greaterThan">
      <formula>0.18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1D98-2EA8-48E6-9506-728294DD1DD2}">
  <dimension ref="A1:H30"/>
  <sheetViews>
    <sheetView zoomScaleNormal="100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8.85546875" bestFit="1" customWidth="1"/>
    <col min="2" max="2" width="20.5703125" bestFit="1" customWidth="1"/>
    <col min="3" max="3" width="13.85546875" bestFit="1" customWidth="1"/>
    <col min="4" max="4" width="17.85546875" bestFit="1" customWidth="1"/>
    <col min="5" max="5" width="13.7109375" bestFit="1" customWidth="1"/>
    <col min="6" max="6" width="11.7109375" bestFit="1" customWidth="1"/>
    <col min="8" max="8" width="11.570312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8.75" x14ac:dyDescent="0.3">
      <c r="A2" s="77" t="s">
        <v>129</v>
      </c>
      <c r="B2" s="77" t="s">
        <v>151</v>
      </c>
      <c r="C2" s="59">
        <v>13027</v>
      </c>
      <c r="D2" s="59">
        <v>329464</v>
      </c>
      <c r="E2" s="59">
        <v>69583.614499999996</v>
      </c>
      <c r="F2" s="29">
        <v>6.5414918630536576</v>
      </c>
      <c r="G2" s="50">
        <v>0.2112024819100114</v>
      </c>
      <c r="H2" s="93">
        <f>D2-E2</f>
        <v>259880.3855</v>
      </c>
    </row>
    <row r="3" spans="1:8" ht="15.75" x14ac:dyDescent="0.25">
      <c r="A3" s="11" t="s">
        <v>13</v>
      </c>
      <c r="B3" s="11" t="s">
        <v>28</v>
      </c>
      <c r="C3" s="11">
        <v>2332</v>
      </c>
      <c r="D3" s="11">
        <v>58196</v>
      </c>
      <c r="E3" s="12">
        <v>11348.712</v>
      </c>
      <c r="F3" s="13">
        <f>E3/C3+0.1</f>
        <v>4.9665145797598624</v>
      </c>
      <c r="G3" s="8">
        <f>E3/D3</f>
        <v>0.19500845418929136</v>
      </c>
      <c r="H3" s="93">
        <f>D3-E3</f>
        <v>46847.288</v>
      </c>
    </row>
    <row r="4" spans="1:8" ht="15.75" x14ac:dyDescent="0.25">
      <c r="A4" s="11" t="s">
        <v>7</v>
      </c>
      <c r="B4" s="11" t="s">
        <v>76</v>
      </c>
      <c r="C4" s="11">
        <v>1050</v>
      </c>
      <c r="D4" s="11">
        <v>25965</v>
      </c>
      <c r="E4" s="12">
        <v>4405.1849999999995</v>
      </c>
      <c r="F4" s="13">
        <f>E4/C4+1</f>
        <v>5.1954142857142855</v>
      </c>
      <c r="G4" s="8">
        <f>E4/D4</f>
        <v>0.16965857885615249</v>
      </c>
      <c r="H4" s="93">
        <f>D4-E4</f>
        <v>21559.815000000002</v>
      </c>
    </row>
    <row r="5" spans="1:8" ht="15.75" x14ac:dyDescent="0.25">
      <c r="A5" s="11" t="s">
        <v>11</v>
      </c>
      <c r="B5" s="11" t="s">
        <v>76</v>
      </c>
      <c r="C5" s="11">
        <v>799</v>
      </c>
      <c r="D5" s="11">
        <v>20600</v>
      </c>
      <c r="E5" s="12">
        <v>3434.625</v>
      </c>
      <c r="F5" s="13">
        <f>E5/C5+1.9</f>
        <v>6.1986545682102623</v>
      </c>
      <c r="G5" s="8">
        <f>E5/D5</f>
        <v>0.16672936893203882</v>
      </c>
      <c r="H5" s="93">
        <f>D5-E5</f>
        <v>17165.375</v>
      </c>
    </row>
    <row r="6" spans="1:8" ht="15.75" x14ac:dyDescent="0.25">
      <c r="A6" s="11" t="s">
        <v>15</v>
      </c>
      <c r="B6" s="11" t="s">
        <v>76</v>
      </c>
      <c r="C6" s="11">
        <v>803</v>
      </c>
      <c r="D6" s="11">
        <v>21109</v>
      </c>
      <c r="E6" s="12">
        <v>4747.3649999999998</v>
      </c>
      <c r="F6" s="13">
        <f>E6/C6+3</f>
        <v>8.9120361145703608</v>
      </c>
      <c r="G6" s="8">
        <f>E6/D6</f>
        <v>0.2248976739779241</v>
      </c>
      <c r="H6" s="93">
        <f>D6-E6</f>
        <v>16361.635</v>
      </c>
    </row>
    <row r="7" spans="1:8" ht="15.75" x14ac:dyDescent="0.25">
      <c r="A7" s="11" t="s">
        <v>47</v>
      </c>
      <c r="B7" s="11" t="s">
        <v>76</v>
      </c>
      <c r="C7" s="11">
        <v>707</v>
      </c>
      <c r="D7" s="11">
        <v>18430</v>
      </c>
      <c r="E7" s="12">
        <v>2585.2950000000005</v>
      </c>
      <c r="F7" s="13">
        <f>E7/C7+1.1</f>
        <v>4.7567114568599731</v>
      </c>
      <c r="G7" s="8">
        <f>E7/D7</f>
        <v>0.14027645143787307</v>
      </c>
      <c r="H7" s="93">
        <f>D7-E7</f>
        <v>15844.705</v>
      </c>
    </row>
    <row r="8" spans="1:8" ht="15.75" x14ac:dyDescent="0.25">
      <c r="A8" s="11" t="s">
        <v>59</v>
      </c>
      <c r="B8" s="11" t="s">
        <v>76</v>
      </c>
      <c r="C8" s="11">
        <v>686</v>
      </c>
      <c r="D8" s="11">
        <v>17751</v>
      </c>
      <c r="E8" s="12">
        <v>2774.2919999999999</v>
      </c>
      <c r="F8" s="13">
        <f>E8/C8+1.3</f>
        <v>5.3441574344023319</v>
      </c>
      <c r="G8" s="8">
        <f>E8/D8</f>
        <v>0.15628933581206692</v>
      </c>
      <c r="H8" s="93">
        <f>D8-E8</f>
        <v>14976.708000000001</v>
      </c>
    </row>
    <row r="9" spans="1:8" ht="15.75" x14ac:dyDescent="0.25">
      <c r="A9" s="11" t="s">
        <v>24</v>
      </c>
      <c r="B9" s="11" t="s">
        <v>28</v>
      </c>
      <c r="C9" s="11">
        <v>663</v>
      </c>
      <c r="D9" s="11">
        <v>17010</v>
      </c>
      <c r="E9" s="12">
        <v>4210.6500000000005</v>
      </c>
      <c r="F9" s="13">
        <f>E9/C9+0.1</f>
        <v>6.4509049773755658</v>
      </c>
      <c r="G9" s="8">
        <f>E9/D9</f>
        <v>0.24753968253968256</v>
      </c>
      <c r="H9" s="93">
        <f>D9-E9</f>
        <v>12799.349999999999</v>
      </c>
    </row>
    <row r="10" spans="1:8" ht="15.75" x14ac:dyDescent="0.25">
      <c r="A10" s="11" t="s">
        <v>6</v>
      </c>
      <c r="B10" s="11" t="s">
        <v>28</v>
      </c>
      <c r="C10" s="11">
        <v>585</v>
      </c>
      <c r="D10" s="11">
        <v>14903</v>
      </c>
      <c r="E10" s="12">
        <v>3804.8039999999996</v>
      </c>
      <c r="F10" s="13">
        <f>E10/C10+0.1</f>
        <v>6.6039384615384602</v>
      </c>
      <c r="G10" s="8">
        <f>E10/D10</f>
        <v>0.25530456954975506</v>
      </c>
      <c r="H10" s="93">
        <f>D10-E10</f>
        <v>11098.196</v>
      </c>
    </row>
    <row r="11" spans="1:8" ht="15.75" x14ac:dyDescent="0.25">
      <c r="A11" s="11" t="s">
        <v>16</v>
      </c>
      <c r="B11" s="11" t="s">
        <v>28</v>
      </c>
      <c r="C11" s="11">
        <v>590</v>
      </c>
      <c r="D11" s="11">
        <v>15625</v>
      </c>
      <c r="E11" s="12">
        <v>4577.7780000000002</v>
      </c>
      <c r="F11" s="13">
        <f>E11/C11+0.1</f>
        <v>7.8589457627118646</v>
      </c>
      <c r="G11" s="8">
        <f>E11/D11</f>
        <v>0.29297779200000001</v>
      </c>
      <c r="H11" s="93">
        <f>D11-E11</f>
        <v>11047.222</v>
      </c>
    </row>
    <row r="12" spans="1:8" ht="15.75" x14ac:dyDescent="0.25">
      <c r="A12" s="11" t="s">
        <v>55</v>
      </c>
      <c r="B12" s="11" t="s">
        <v>76</v>
      </c>
      <c r="C12" s="11">
        <v>504</v>
      </c>
      <c r="D12" s="11">
        <v>12698</v>
      </c>
      <c r="E12" s="12">
        <v>2012.3910000000001</v>
      </c>
      <c r="F12" s="13">
        <f>E12/C12+1.9</f>
        <v>5.8928392857142864</v>
      </c>
      <c r="G12" s="8">
        <f>E12/D12</f>
        <v>0.15848094188061113</v>
      </c>
      <c r="H12" s="93">
        <f>D12-E12</f>
        <v>10685.609</v>
      </c>
    </row>
    <row r="13" spans="1:8" ht="15.75" x14ac:dyDescent="0.25">
      <c r="A13" s="11" t="s">
        <v>18</v>
      </c>
      <c r="B13" s="11" t="s">
        <v>120</v>
      </c>
      <c r="C13" s="11">
        <v>537</v>
      </c>
      <c r="D13" s="11">
        <v>12986</v>
      </c>
      <c r="E13" s="12">
        <v>2796.7419999999993</v>
      </c>
      <c r="F13" s="13">
        <f>E13/C13+2.7</f>
        <v>7.9080856610800732</v>
      </c>
      <c r="G13" s="8">
        <f>E13/D13</f>
        <v>0.21536593254273828</v>
      </c>
      <c r="H13" s="93">
        <f>D13-E13</f>
        <v>10189.258000000002</v>
      </c>
    </row>
    <row r="14" spans="1:8" ht="15.75" x14ac:dyDescent="0.25">
      <c r="A14" s="11" t="s">
        <v>44</v>
      </c>
      <c r="B14" s="11" t="s">
        <v>76</v>
      </c>
      <c r="C14" s="11">
        <v>447</v>
      </c>
      <c r="D14" s="11">
        <v>11439</v>
      </c>
      <c r="E14" s="12">
        <v>1643.8140000000001</v>
      </c>
      <c r="F14" s="13">
        <f>E14/C14+0.8</f>
        <v>4.4774362416107385</v>
      </c>
      <c r="G14" s="8">
        <f>E14/D14</f>
        <v>0.14370259638080252</v>
      </c>
      <c r="H14" s="93">
        <f>D14-E14</f>
        <v>9795.1859999999997</v>
      </c>
    </row>
    <row r="15" spans="1:8" ht="15.75" x14ac:dyDescent="0.25">
      <c r="A15" s="11" t="s">
        <v>74</v>
      </c>
      <c r="B15" s="11" t="s">
        <v>76</v>
      </c>
      <c r="C15" s="11">
        <v>472</v>
      </c>
      <c r="D15" s="11">
        <v>11501</v>
      </c>
      <c r="E15" s="12">
        <v>1886.4659999999997</v>
      </c>
      <c r="F15" s="13">
        <f>E15/C15+1.8</f>
        <v>5.7967499999999994</v>
      </c>
      <c r="G15" s="8">
        <f>E15/D15</f>
        <v>0.16402625858620987</v>
      </c>
      <c r="H15" s="93">
        <f>D15-E15</f>
        <v>9614.5339999999997</v>
      </c>
    </row>
    <row r="16" spans="1:8" ht="15.75" x14ac:dyDescent="0.25">
      <c r="A16" s="11" t="s">
        <v>17</v>
      </c>
      <c r="B16" s="11" t="s">
        <v>28</v>
      </c>
      <c r="C16" s="11">
        <v>507</v>
      </c>
      <c r="D16" s="11">
        <v>12614</v>
      </c>
      <c r="E16" s="12">
        <v>3193.2179999999998</v>
      </c>
      <c r="F16" s="13">
        <f>E16/C16+0.1</f>
        <v>6.3982603550295849</v>
      </c>
      <c r="G16" s="8">
        <f>E16/D16</f>
        <v>0.25314872364039953</v>
      </c>
      <c r="H16" s="93">
        <f>D16-E16</f>
        <v>9420.7819999999992</v>
      </c>
    </row>
    <row r="17" spans="1:8" ht="15.75" x14ac:dyDescent="0.25">
      <c r="A17" s="11" t="s">
        <v>12</v>
      </c>
      <c r="B17" s="11" t="s">
        <v>120</v>
      </c>
      <c r="C17" s="11">
        <v>406</v>
      </c>
      <c r="D17" s="11">
        <v>10403</v>
      </c>
      <c r="E17" s="12">
        <v>2461.2119999999995</v>
      </c>
      <c r="F17" s="13">
        <f>E17/C17+1.5</f>
        <v>7.5620985221674868</v>
      </c>
      <c r="G17" s="8">
        <f>E17/D17</f>
        <v>0.23658675382101313</v>
      </c>
      <c r="H17" s="93">
        <f>D17-E17</f>
        <v>7941.7880000000005</v>
      </c>
    </row>
    <row r="18" spans="1:8" ht="15.75" x14ac:dyDescent="0.25">
      <c r="A18" s="11" t="s">
        <v>9</v>
      </c>
      <c r="B18" s="11" t="s">
        <v>76</v>
      </c>
      <c r="C18" s="11">
        <v>347</v>
      </c>
      <c r="D18" s="11">
        <v>8769</v>
      </c>
      <c r="E18" s="12">
        <v>1600</v>
      </c>
      <c r="F18" s="13">
        <f>E18/C18+2.1</f>
        <v>6.7109510086455337</v>
      </c>
      <c r="G18" s="8">
        <f>E18/D18</f>
        <v>0.18246094195461285</v>
      </c>
      <c r="H18" s="93">
        <f>D18-E18</f>
        <v>7169</v>
      </c>
    </row>
    <row r="19" spans="1:8" ht="15.75" x14ac:dyDescent="0.25">
      <c r="A19" s="11" t="s">
        <v>41</v>
      </c>
      <c r="B19" s="11" t="s">
        <v>120</v>
      </c>
      <c r="C19" s="11">
        <v>186</v>
      </c>
      <c r="D19" s="11">
        <v>4632</v>
      </c>
      <c r="E19" s="12">
        <v>1280.8315</v>
      </c>
      <c r="F19" s="13">
        <f>E19/C19+2.3</f>
        <v>9.1861908602150528</v>
      </c>
      <c r="G19" s="8">
        <f>E19/D19</f>
        <v>0.27651802677029363</v>
      </c>
      <c r="H19" s="93">
        <f>D19-E19</f>
        <v>3351.1684999999998</v>
      </c>
    </row>
    <row r="20" spans="1:8" ht="15.75" x14ac:dyDescent="0.25">
      <c r="A20" s="11" t="s">
        <v>22</v>
      </c>
      <c r="B20" s="11" t="s">
        <v>76</v>
      </c>
      <c r="C20" s="11">
        <v>165</v>
      </c>
      <c r="D20" s="11">
        <v>4028</v>
      </c>
      <c r="E20" s="12">
        <v>883.44599999999991</v>
      </c>
      <c r="F20" s="13">
        <f>E20/C20+1.6</f>
        <v>6.954218181818181</v>
      </c>
      <c r="G20" s="8">
        <f>E20/D20</f>
        <v>0.21932621648460773</v>
      </c>
      <c r="H20" s="93">
        <f>D20-E20</f>
        <v>3144.5540000000001</v>
      </c>
    </row>
    <row r="21" spans="1:8" ht="15.75" x14ac:dyDescent="0.25">
      <c r="A21" s="11" t="s">
        <v>31</v>
      </c>
      <c r="B21" s="11" t="s">
        <v>120</v>
      </c>
      <c r="C21" s="11">
        <v>229</v>
      </c>
      <c r="D21" s="11">
        <v>5812</v>
      </c>
      <c r="E21" s="12">
        <v>2700.4575000000004</v>
      </c>
      <c r="F21" s="13">
        <f>E21/C21+1.9</f>
        <v>13.692390829694325</v>
      </c>
      <c r="G21" s="8">
        <f>E21/D21</f>
        <v>0.46463480729525131</v>
      </c>
      <c r="H21" s="93">
        <f>D21-E21</f>
        <v>3111.5424999999996</v>
      </c>
    </row>
    <row r="22" spans="1:8" ht="15.75" x14ac:dyDescent="0.25">
      <c r="A22" s="11" t="s">
        <v>35</v>
      </c>
      <c r="B22" s="11" t="s">
        <v>120</v>
      </c>
      <c r="C22" s="11">
        <v>165</v>
      </c>
      <c r="D22" s="11">
        <v>4268</v>
      </c>
      <c r="E22" s="12">
        <v>1671.9949999999999</v>
      </c>
      <c r="F22" s="13">
        <f>E22/C22+1.9</f>
        <v>12.03330303030303</v>
      </c>
      <c r="G22" s="8">
        <f>E22/D22</f>
        <v>0.39175140581068413</v>
      </c>
      <c r="H22" s="93">
        <f>D22-E22</f>
        <v>2596.0050000000001</v>
      </c>
    </row>
    <row r="23" spans="1:8" ht="15.75" x14ac:dyDescent="0.25">
      <c r="A23" s="11" t="s">
        <v>20</v>
      </c>
      <c r="B23" s="11" t="s">
        <v>120</v>
      </c>
      <c r="C23" s="11">
        <v>107</v>
      </c>
      <c r="D23" s="11">
        <v>2700</v>
      </c>
      <c r="E23" s="12">
        <v>372.63849999999991</v>
      </c>
      <c r="F23" s="13">
        <f>E23/C23+1.9</f>
        <v>5.3826028037383171</v>
      </c>
      <c r="G23" s="8">
        <f>E23/D23</f>
        <v>0.13801425925925923</v>
      </c>
      <c r="H23" s="93">
        <f>D23-E23</f>
        <v>2327.3615</v>
      </c>
    </row>
    <row r="24" spans="1:8" ht="15.75" x14ac:dyDescent="0.25">
      <c r="A24" s="11" t="s">
        <v>39</v>
      </c>
      <c r="B24" s="11" t="s">
        <v>120</v>
      </c>
      <c r="C24" s="11">
        <v>134</v>
      </c>
      <c r="D24" s="11">
        <v>3225</v>
      </c>
      <c r="E24" s="12">
        <v>1037.9005</v>
      </c>
      <c r="F24" s="13">
        <f>E24/C24+1.3</f>
        <v>9.0455261194029859</v>
      </c>
      <c r="G24" s="8">
        <f>E24/D24</f>
        <v>0.32182961240310076</v>
      </c>
      <c r="H24" s="93">
        <f>D24-E24</f>
        <v>2187.0995000000003</v>
      </c>
    </row>
    <row r="25" spans="1:8" ht="15.75" x14ac:dyDescent="0.25">
      <c r="A25" s="11" t="s">
        <v>54</v>
      </c>
      <c r="B25" s="11" t="s">
        <v>120</v>
      </c>
      <c r="C25" s="11">
        <v>125</v>
      </c>
      <c r="D25" s="11">
        <v>2767</v>
      </c>
      <c r="E25" s="12">
        <v>584.99999999999989</v>
      </c>
      <c r="F25" s="13">
        <f>E25/C25+2.7</f>
        <v>7.379999999999999</v>
      </c>
      <c r="G25" s="8">
        <f>E25/D25</f>
        <v>0.21142031080592696</v>
      </c>
      <c r="H25" s="93">
        <f>D25-E25</f>
        <v>2182</v>
      </c>
    </row>
    <row r="26" spans="1:8" ht="15.75" x14ac:dyDescent="0.25">
      <c r="A26" s="11" t="s">
        <v>52</v>
      </c>
      <c r="B26" s="11" t="s">
        <v>76</v>
      </c>
      <c r="C26" s="11">
        <v>104</v>
      </c>
      <c r="D26" s="11">
        <v>2607</v>
      </c>
      <c r="E26" s="12">
        <v>788.18100000000015</v>
      </c>
      <c r="F26" s="13">
        <f>E26/C26+1</f>
        <v>8.5786634615384632</v>
      </c>
      <c r="G26" s="8">
        <f>E26/D26</f>
        <v>0.30233256616800924</v>
      </c>
      <c r="H26" s="93">
        <f>D26-E26</f>
        <v>1818.819</v>
      </c>
    </row>
    <row r="27" spans="1:8" ht="15.75" x14ac:dyDescent="0.25">
      <c r="A27" s="11" t="s">
        <v>8</v>
      </c>
      <c r="B27" s="11" t="s">
        <v>120</v>
      </c>
      <c r="C27" s="11">
        <v>96</v>
      </c>
      <c r="D27" s="11">
        <v>2519</v>
      </c>
      <c r="E27" s="12">
        <v>773.94200000000001</v>
      </c>
      <c r="F27" s="13">
        <f>E27/C27+4</f>
        <v>12.061895833333333</v>
      </c>
      <c r="G27" s="8">
        <f>E27/D27</f>
        <v>0.30724176260420805</v>
      </c>
      <c r="H27" s="93">
        <f>D27-E27</f>
        <v>1745.058</v>
      </c>
    </row>
    <row r="28" spans="1:8" ht="15.75" x14ac:dyDescent="0.25">
      <c r="A28" s="11" t="s">
        <v>42</v>
      </c>
      <c r="B28" s="11" t="s">
        <v>120</v>
      </c>
      <c r="C28" s="11">
        <v>80</v>
      </c>
      <c r="D28" s="11">
        <v>1855</v>
      </c>
      <c r="E28" s="12">
        <v>154.79100000000003</v>
      </c>
      <c r="F28" s="13">
        <f>E28/C28+2.2</f>
        <v>4.1348875000000005</v>
      </c>
      <c r="G28" s="8">
        <f>E28/D28</f>
        <v>8.3445283018867944E-2</v>
      </c>
      <c r="H28" s="93">
        <f>D28-E28</f>
        <v>1700.2090000000001</v>
      </c>
    </row>
    <row r="29" spans="1:8" ht="15.75" x14ac:dyDescent="0.25">
      <c r="A29" s="11" t="s">
        <v>21</v>
      </c>
      <c r="B29" s="11" t="s">
        <v>120</v>
      </c>
      <c r="C29" s="11">
        <v>129</v>
      </c>
      <c r="D29" s="11">
        <v>3375</v>
      </c>
      <c r="E29" s="12">
        <v>1685.6255000000003</v>
      </c>
      <c r="F29" s="13">
        <f>E29/C29+2.7</f>
        <v>15.766864341085274</v>
      </c>
      <c r="G29" s="8">
        <f>E29/D29</f>
        <v>0.49944459259259272</v>
      </c>
      <c r="H29" s="93">
        <f>D29-E29</f>
        <v>1689.3744999999997</v>
      </c>
    </row>
    <row r="30" spans="1:8" ht="15.75" x14ac:dyDescent="0.25">
      <c r="A30" s="11" t="s">
        <v>50</v>
      </c>
      <c r="B30" s="11" t="s">
        <v>120</v>
      </c>
      <c r="C30" s="11">
        <v>72</v>
      </c>
      <c r="D30" s="11">
        <v>1677</v>
      </c>
      <c r="E30" s="12">
        <v>166.25700000000001</v>
      </c>
      <c r="F30" s="13">
        <f>E30/C30+3.7</f>
        <v>6.009125</v>
      </c>
      <c r="G30" s="8">
        <f>E30/D30</f>
        <v>9.9139534883720931E-2</v>
      </c>
      <c r="H30" s="93">
        <f>D30-E30</f>
        <v>1510.7429999999999</v>
      </c>
    </row>
  </sheetData>
  <sortState xmlns:xlrd2="http://schemas.microsoft.com/office/spreadsheetml/2017/richdata2" ref="A2:H30">
    <sortCondition descending="1" ref="H1:H30"/>
  </sortState>
  <conditionalFormatting sqref="G2:G30">
    <cfRule type="cellIs" dxfId="1" priority="1" operator="greaterThan">
      <formula>0.22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CD4B-57D5-4DB2-A962-A0AA82B8C22B}">
  <dimension ref="A1:H30"/>
  <sheetViews>
    <sheetView zoomScale="112" zoomScaleNormal="112" workbookViewId="0">
      <pane ySplit="1" topLeftCell="A2" activePane="bottomLeft" state="frozen"/>
      <selection pane="bottomLeft" activeCell="J25" sqref="J25"/>
    </sheetView>
  </sheetViews>
  <sheetFormatPr defaultRowHeight="15" x14ac:dyDescent="0.25"/>
  <cols>
    <col min="1" max="1" width="18.85546875" bestFit="1" customWidth="1"/>
    <col min="2" max="2" width="16.5703125" bestFit="1" customWidth="1"/>
    <col min="3" max="3" width="13.7109375" bestFit="1" customWidth="1"/>
    <col min="4" max="4" width="17.7109375" bestFit="1" customWidth="1"/>
    <col min="5" max="5" width="13.5703125" bestFit="1" customWidth="1"/>
    <col min="6" max="6" width="11.7109375" bestFit="1" customWidth="1"/>
    <col min="8" max="8" width="11.5703125" bestFit="1" customWidth="1"/>
  </cols>
  <sheetData>
    <row r="1" spans="1:8" ht="16.5" thickTop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126</v>
      </c>
      <c r="H1" s="7" t="s">
        <v>159</v>
      </c>
    </row>
    <row r="2" spans="1:8" ht="15.75" x14ac:dyDescent="0.25">
      <c r="A2" s="74" t="s">
        <v>129</v>
      </c>
      <c r="B2" s="74" t="s">
        <v>152</v>
      </c>
      <c r="C2" s="74">
        <v>10265</v>
      </c>
      <c r="D2" s="74">
        <v>362795</v>
      </c>
      <c r="E2" s="74">
        <v>57898</v>
      </c>
      <c r="F2" s="76">
        <v>6.8403312226010717</v>
      </c>
      <c r="G2" s="79">
        <v>0.15958874846676499</v>
      </c>
      <c r="H2" s="93">
        <f>D2-E2</f>
        <v>304897</v>
      </c>
    </row>
    <row r="3" spans="1:8" ht="15.75" x14ac:dyDescent="0.25">
      <c r="A3" s="4" t="s">
        <v>13</v>
      </c>
      <c r="B3" s="4" t="s">
        <v>78</v>
      </c>
      <c r="C3" s="4">
        <v>1175</v>
      </c>
      <c r="D3" s="4">
        <v>40587</v>
      </c>
      <c r="E3" s="4">
        <v>6987</v>
      </c>
      <c r="F3" s="9">
        <f>E3/C3+0.1</f>
        <v>6.046382978723404</v>
      </c>
      <c r="G3" s="78">
        <f>E3/D3</f>
        <v>0.17214871756966516</v>
      </c>
      <c r="H3" s="93">
        <f>D3-E3</f>
        <v>33600</v>
      </c>
    </row>
    <row r="4" spans="1:8" ht="15.75" x14ac:dyDescent="0.25">
      <c r="A4" s="4" t="s">
        <v>44</v>
      </c>
      <c r="B4" s="4" t="s">
        <v>98</v>
      </c>
      <c r="C4" s="4">
        <v>900</v>
      </c>
      <c r="D4" s="4">
        <v>34982</v>
      </c>
      <c r="E4" s="4">
        <v>3601</v>
      </c>
      <c r="F4" s="9">
        <f>E4/C4+0.8</f>
        <v>4.8011111111111111</v>
      </c>
      <c r="G4" s="78">
        <f>E4/D4</f>
        <v>0.10293865416499914</v>
      </c>
      <c r="H4" s="93">
        <f>D4-E4</f>
        <v>31381</v>
      </c>
    </row>
    <row r="5" spans="1:8" ht="15.75" x14ac:dyDescent="0.25">
      <c r="A5" s="4" t="s">
        <v>24</v>
      </c>
      <c r="B5" s="4" t="s">
        <v>78</v>
      </c>
      <c r="C5" s="4">
        <v>1032</v>
      </c>
      <c r="D5" s="4">
        <v>38786</v>
      </c>
      <c r="E5" s="4">
        <v>7842</v>
      </c>
      <c r="F5" s="9">
        <f>E5/C5+0.1</f>
        <v>7.698837209302325</v>
      </c>
      <c r="G5" s="78">
        <f>E5/D5</f>
        <v>0.20218635590161399</v>
      </c>
      <c r="H5" s="93">
        <f>D5-E5</f>
        <v>30944</v>
      </c>
    </row>
    <row r="6" spans="1:8" ht="15.75" x14ac:dyDescent="0.25">
      <c r="A6" s="4" t="s">
        <v>11</v>
      </c>
      <c r="B6" s="4" t="s">
        <v>98</v>
      </c>
      <c r="C6" s="4">
        <v>757</v>
      </c>
      <c r="D6" s="4">
        <v>32121</v>
      </c>
      <c r="E6" s="4">
        <v>3674</v>
      </c>
      <c r="F6" s="9">
        <f>E6/C6+1.9</f>
        <v>6.753368560105681</v>
      </c>
      <c r="G6" s="78">
        <f>E6/D6</f>
        <v>0.11438000062264563</v>
      </c>
      <c r="H6" s="93">
        <f>D6-E6</f>
        <v>28447</v>
      </c>
    </row>
    <row r="7" spans="1:8" ht="15.75" x14ac:dyDescent="0.25">
      <c r="A7" s="4" t="s">
        <v>7</v>
      </c>
      <c r="B7" s="4" t="s">
        <v>98</v>
      </c>
      <c r="C7" s="4">
        <v>810</v>
      </c>
      <c r="D7" s="4">
        <v>26316</v>
      </c>
      <c r="E7" s="4">
        <v>2862</v>
      </c>
      <c r="F7" s="9">
        <f>E7/C7+1</f>
        <v>4.5333333333333332</v>
      </c>
      <c r="G7" s="78">
        <f>E7/D7</f>
        <v>0.10875512995896033</v>
      </c>
      <c r="H7" s="93">
        <f>D7-E7</f>
        <v>23454</v>
      </c>
    </row>
    <row r="8" spans="1:8" ht="15.75" x14ac:dyDescent="0.25">
      <c r="A8" s="4" t="s">
        <v>15</v>
      </c>
      <c r="B8" s="4" t="s">
        <v>98</v>
      </c>
      <c r="C8" s="4">
        <v>535</v>
      </c>
      <c r="D8" s="4">
        <v>21225</v>
      </c>
      <c r="E8" s="4">
        <v>2310</v>
      </c>
      <c r="F8" s="9">
        <f>E8/C8+3</f>
        <v>7.3177570093457946</v>
      </c>
      <c r="G8" s="78">
        <f>E8/D8</f>
        <v>0.1088339222614841</v>
      </c>
      <c r="H8" s="93">
        <f>D8-E8</f>
        <v>18915</v>
      </c>
    </row>
    <row r="9" spans="1:8" ht="15.75" x14ac:dyDescent="0.25">
      <c r="A9" s="4" t="s">
        <v>6</v>
      </c>
      <c r="B9" s="4" t="s">
        <v>78</v>
      </c>
      <c r="C9" s="4">
        <v>511</v>
      </c>
      <c r="D9" s="4">
        <v>20131</v>
      </c>
      <c r="E9" s="4">
        <v>3401</v>
      </c>
      <c r="F9" s="9">
        <f>E9/C9+0.1</f>
        <v>6.7555772994129155</v>
      </c>
      <c r="G9" s="78">
        <f>E9/D9</f>
        <v>0.16894342059510209</v>
      </c>
      <c r="H9" s="93">
        <f>D9-E9</f>
        <v>16730</v>
      </c>
    </row>
    <row r="10" spans="1:8" ht="15.75" x14ac:dyDescent="0.25">
      <c r="A10" s="4" t="s">
        <v>16</v>
      </c>
      <c r="B10" s="4" t="s">
        <v>78</v>
      </c>
      <c r="C10" s="4">
        <v>455</v>
      </c>
      <c r="D10" s="4">
        <v>18635</v>
      </c>
      <c r="E10" s="4">
        <v>3963</v>
      </c>
      <c r="F10" s="9">
        <f>E10/C10+0.1</f>
        <v>8.8098901098901088</v>
      </c>
      <c r="G10" s="78">
        <f>E10/D10</f>
        <v>0.21266434129326536</v>
      </c>
      <c r="H10" s="93">
        <f>D10-E10</f>
        <v>14672</v>
      </c>
    </row>
    <row r="11" spans="1:8" ht="15.75" x14ac:dyDescent="0.25">
      <c r="A11" s="4" t="s">
        <v>12</v>
      </c>
      <c r="B11" s="4" t="s">
        <v>117</v>
      </c>
      <c r="C11" s="4">
        <v>436</v>
      </c>
      <c r="D11" s="4">
        <v>16430</v>
      </c>
      <c r="E11" s="4">
        <v>2769</v>
      </c>
      <c r="F11" s="9">
        <f>E11/C11+1.5</f>
        <v>7.8509174311926602</v>
      </c>
      <c r="G11" s="78">
        <f>E11/D11</f>
        <v>0.16853317102860621</v>
      </c>
      <c r="H11" s="93">
        <f>D11-E11</f>
        <v>13661</v>
      </c>
    </row>
    <row r="12" spans="1:8" ht="15.75" x14ac:dyDescent="0.25">
      <c r="A12" s="4" t="s">
        <v>9</v>
      </c>
      <c r="B12" s="4" t="s">
        <v>98</v>
      </c>
      <c r="C12" s="4">
        <v>302</v>
      </c>
      <c r="D12" s="4">
        <v>13336</v>
      </c>
      <c r="E12" s="4">
        <v>675</v>
      </c>
      <c r="F12" s="9">
        <f>E12/C12+2.1</f>
        <v>4.3350993377483444</v>
      </c>
      <c r="G12" s="78">
        <f>E12/D12</f>
        <v>5.0614877024595079E-2</v>
      </c>
      <c r="H12" s="93">
        <f>D12-E12</f>
        <v>12661</v>
      </c>
    </row>
    <row r="13" spans="1:8" ht="15.75" x14ac:dyDescent="0.25">
      <c r="A13" s="4" t="s">
        <v>17</v>
      </c>
      <c r="B13" s="4" t="s">
        <v>78</v>
      </c>
      <c r="C13" s="4">
        <v>365</v>
      </c>
      <c r="D13" s="4">
        <v>12929</v>
      </c>
      <c r="E13" s="4">
        <v>2515</v>
      </c>
      <c r="F13" s="9">
        <f>E13/C13+0.1</f>
        <v>6.9904109589041088</v>
      </c>
      <c r="G13" s="78">
        <f>E13/D13</f>
        <v>0.19452393843298013</v>
      </c>
      <c r="H13" s="93">
        <f>D13-E13</f>
        <v>10414</v>
      </c>
    </row>
    <row r="14" spans="1:8" ht="15.75" x14ac:dyDescent="0.25">
      <c r="A14" s="4" t="s">
        <v>55</v>
      </c>
      <c r="B14" s="4" t="s">
        <v>98</v>
      </c>
      <c r="C14" s="4">
        <v>284</v>
      </c>
      <c r="D14" s="4">
        <v>11095</v>
      </c>
      <c r="E14" s="4">
        <v>1223</v>
      </c>
      <c r="F14" s="9">
        <f>E14/C14+1.9</f>
        <v>6.2063380281690144</v>
      </c>
      <c r="G14" s="78">
        <f>E14/D14</f>
        <v>0.11022983325822443</v>
      </c>
      <c r="H14" s="93">
        <f>D14-E14</f>
        <v>9872</v>
      </c>
    </row>
    <row r="15" spans="1:8" ht="15.75" x14ac:dyDescent="0.25">
      <c r="A15" s="4" t="s">
        <v>59</v>
      </c>
      <c r="B15" s="4" t="s">
        <v>98</v>
      </c>
      <c r="C15" s="4">
        <v>345</v>
      </c>
      <c r="D15" s="4">
        <v>10886</v>
      </c>
      <c r="E15" s="4">
        <v>1419</v>
      </c>
      <c r="F15" s="9">
        <f>E15/C15+1.3</f>
        <v>5.4130434782608692</v>
      </c>
      <c r="G15" s="78">
        <f>E15/D15</f>
        <v>0.13035090942494948</v>
      </c>
      <c r="H15" s="93">
        <f>D15-E15</f>
        <v>9467</v>
      </c>
    </row>
    <row r="16" spans="1:8" ht="15.75" x14ac:dyDescent="0.25">
      <c r="A16" s="4" t="s">
        <v>31</v>
      </c>
      <c r="B16" s="4" t="s">
        <v>117</v>
      </c>
      <c r="C16" s="4">
        <v>323</v>
      </c>
      <c r="D16" s="4">
        <v>10933</v>
      </c>
      <c r="E16" s="4">
        <v>2692</v>
      </c>
      <c r="F16" s="9">
        <f>E16/C16+1.9</f>
        <v>10.2343653250774</v>
      </c>
      <c r="G16" s="78">
        <f>E16/D16</f>
        <v>0.24622701911643646</v>
      </c>
      <c r="H16" s="93">
        <f>D16-E16</f>
        <v>8241</v>
      </c>
    </row>
    <row r="17" spans="1:8" ht="15.75" x14ac:dyDescent="0.25">
      <c r="A17" s="4" t="s">
        <v>35</v>
      </c>
      <c r="B17" s="4" t="s">
        <v>117</v>
      </c>
      <c r="C17" s="4">
        <v>314</v>
      </c>
      <c r="D17" s="4">
        <v>9347</v>
      </c>
      <c r="E17" s="4">
        <v>1805</v>
      </c>
      <c r="F17" s="9">
        <f>E17/C17+1.9</f>
        <v>7.6484076433121011</v>
      </c>
      <c r="G17" s="78">
        <f>E17/D17</f>
        <v>0.19311008879854499</v>
      </c>
      <c r="H17" s="93">
        <f>D17-E17</f>
        <v>7542</v>
      </c>
    </row>
    <row r="18" spans="1:8" ht="15.75" x14ac:dyDescent="0.25">
      <c r="A18" s="4" t="s">
        <v>74</v>
      </c>
      <c r="B18" s="4" t="s">
        <v>98</v>
      </c>
      <c r="C18" s="4">
        <v>214</v>
      </c>
      <c r="D18" s="4">
        <v>7508</v>
      </c>
      <c r="E18" s="4">
        <v>566</v>
      </c>
      <c r="F18" s="9">
        <f>E18/C18+1.8</f>
        <v>4.4448598130841122</v>
      </c>
      <c r="G18" s="78">
        <f>E18/D18</f>
        <v>7.5386254661694199E-2</v>
      </c>
      <c r="H18" s="93">
        <f>D18-E18</f>
        <v>6942</v>
      </c>
    </row>
    <row r="19" spans="1:8" ht="15.75" x14ac:dyDescent="0.25">
      <c r="A19" s="4" t="s">
        <v>18</v>
      </c>
      <c r="B19" s="4" t="s">
        <v>117</v>
      </c>
      <c r="C19" s="4">
        <v>266</v>
      </c>
      <c r="D19" s="4">
        <v>7521</v>
      </c>
      <c r="E19" s="4">
        <v>1446</v>
      </c>
      <c r="F19" s="9">
        <f>E19/C19+1.1</f>
        <v>6.5360902255639104</v>
      </c>
      <c r="G19" s="78">
        <f>E19/D19</f>
        <v>0.19226166733147187</v>
      </c>
      <c r="H19" s="93">
        <f>D19-E19</f>
        <v>6075</v>
      </c>
    </row>
    <row r="20" spans="1:8" ht="15.75" x14ac:dyDescent="0.25">
      <c r="A20" s="4" t="s">
        <v>22</v>
      </c>
      <c r="B20" s="4" t="s">
        <v>98</v>
      </c>
      <c r="C20" s="4">
        <v>200</v>
      </c>
      <c r="D20" s="4">
        <v>6554</v>
      </c>
      <c r="E20" s="4">
        <v>754</v>
      </c>
      <c r="F20" s="9">
        <f>E20/C20+1.6</f>
        <v>5.37</v>
      </c>
      <c r="G20" s="78">
        <f>E20/D20</f>
        <v>0.11504424778761062</v>
      </c>
      <c r="H20" s="93">
        <f>D20-E20</f>
        <v>5800</v>
      </c>
    </row>
    <row r="21" spans="1:8" ht="15.75" x14ac:dyDescent="0.25">
      <c r="A21" s="4" t="s">
        <v>47</v>
      </c>
      <c r="B21" s="4" t="s">
        <v>98</v>
      </c>
      <c r="C21" s="4">
        <v>322</v>
      </c>
      <c r="D21" s="4">
        <v>7148</v>
      </c>
      <c r="E21" s="4">
        <v>1634</v>
      </c>
      <c r="F21" s="9">
        <f>E21/C21+1.1</f>
        <v>6.1745341614906835</v>
      </c>
      <c r="G21" s="78">
        <f>E21/D21</f>
        <v>0.22859541130386121</v>
      </c>
      <c r="H21" s="93">
        <f>D21-E21</f>
        <v>5514</v>
      </c>
    </row>
    <row r="22" spans="1:8" ht="15.75" x14ac:dyDescent="0.25">
      <c r="A22" s="4" t="s">
        <v>20</v>
      </c>
      <c r="B22" s="4" t="s">
        <v>117</v>
      </c>
      <c r="C22" s="4">
        <v>131</v>
      </c>
      <c r="D22" s="4">
        <v>3745</v>
      </c>
      <c r="E22" s="4">
        <v>768</v>
      </c>
      <c r="F22" s="9">
        <f>E22/C22+1.8</f>
        <v>7.6625954198473281</v>
      </c>
      <c r="G22" s="78">
        <f>E22/D22</f>
        <v>0.20507343124165553</v>
      </c>
      <c r="H22" s="93">
        <f>D22-E22</f>
        <v>2977</v>
      </c>
    </row>
    <row r="23" spans="1:8" ht="15.75" x14ac:dyDescent="0.25">
      <c r="A23" s="4" t="s">
        <v>41</v>
      </c>
      <c r="B23" s="4" t="s">
        <v>117</v>
      </c>
      <c r="C23" s="4">
        <v>134</v>
      </c>
      <c r="D23" s="4">
        <v>2944</v>
      </c>
      <c r="E23" s="4">
        <v>1025</v>
      </c>
      <c r="F23" s="9">
        <f>E23/C23+2.3</f>
        <v>9.9492537313432834</v>
      </c>
      <c r="G23" s="78">
        <f>E23/D23</f>
        <v>0.34816576086956524</v>
      </c>
      <c r="H23" s="93">
        <f>D23-E23</f>
        <v>1919</v>
      </c>
    </row>
    <row r="24" spans="1:8" ht="15.75" x14ac:dyDescent="0.25">
      <c r="A24" s="4" t="s">
        <v>39</v>
      </c>
      <c r="B24" s="4" t="s">
        <v>117</v>
      </c>
      <c r="C24" s="4">
        <v>135</v>
      </c>
      <c r="D24" s="4">
        <v>2375</v>
      </c>
      <c r="E24" s="4">
        <v>648</v>
      </c>
      <c r="F24" s="9">
        <f>E24/C24+1.3</f>
        <v>6.1</v>
      </c>
      <c r="G24" s="78">
        <f>E24/D24</f>
        <v>0.27284210526315789</v>
      </c>
      <c r="H24" s="93">
        <f>D24-E24</f>
        <v>1727</v>
      </c>
    </row>
    <row r="25" spans="1:8" ht="15.75" x14ac:dyDescent="0.25">
      <c r="A25" s="4" t="s">
        <v>21</v>
      </c>
      <c r="B25" s="4" t="s">
        <v>117</v>
      </c>
      <c r="C25" s="4">
        <v>48</v>
      </c>
      <c r="D25" s="4">
        <v>1999</v>
      </c>
      <c r="E25" s="4">
        <v>1009</v>
      </c>
      <c r="F25" s="9">
        <f>E25/C25+2.7</f>
        <v>23.720833333333331</v>
      </c>
      <c r="G25" s="78">
        <f>E25/D25</f>
        <v>0.5047523761880941</v>
      </c>
      <c r="H25" s="93">
        <f>D25-E25</f>
        <v>990</v>
      </c>
    </row>
    <row r="26" spans="1:8" ht="15.75" x14ac:dyDescent="0.25">
      <c r="A26" s="4" t="s">
        <v>52</v>
      </c>
      <c r="B26" s="4" t="s">
        <v>98</v>
      </c>
      <c r="C26" s="4">
        <v>103</v>
      </c>
      <c r="D26" s="4">
        <v>1265</v>
      </c>
      <c r="E26" s="4">
        <v>498</v>
      </c>
      <c r="F26" s="9">
        <f>E26/C26+1</f>
        <v>5.8349514563106792</v>
      </c>
      <c r="G26" s="78">
        <f>E26/D26</f>
        <v>0.39367588932806324</v>
      </c>
      <c r="H26" s="93">
        <f>D26-E26</f>
        <v>767</v>
      </c>
    </row>
    <row r="27" spans="1:8" ht="15.75" x14ac:dyDescent="0.25">
      <c r="A27" s="4" t="s">
        <v>19</v>
      </c>
      <c r="B27" s="4" t="s">
        <v>98</v>
      </c>
      <c r="C27" s="4">
        <v>92</v>
      </c>
      <c r="D27" s="4">
        <v>1344</v>
      </c>
      <c r="E27" s="4">
        <v>586</v>
      </c>
      <c r="F27" s="9">
        <f>E27/C27+1.4</f>
        <v>7.769565217391305</v>
      </c>
      <c r="G27" s="78">
        <f>E27/D27</f>
        <v>0.43601190476190477</v>
      </c>
      <c r="H27" s="93">
        <f>D27-E27</f>
        <v>758</v>
      </c>
    </row>
    <row r="28" spans="1:8" ht="15.75" x14ac:dyDescent="0.25">
      <c r="A28" s="4" t="s">
        <v>8</v>
      </c>
      <c r="B28" s="4" t="s">
        <v>117</v>
      </c>
      <c r="C28" s="4">
        <v>45</v>
      </c>
      <c r="D28" s="4">
        <v>1401</v>
      </c>
      <c r="E28" s="4">
        <v>718</v>
      </c>
      <c r="F28" s="9">
        <f>E28/C28+4</f>
        <v>19.955555555555556</v>
      </c>
      <c r="G28" s="78">
        <f>E28/D28</f>
        <v>0.51249107780157033</v>
      </c>
      <c r="H28" s="93">
        <f>D28-E28</f>
        <v>683</v>
      </c>
    </row>
    <row r="29" spans="1:8" ht="15.75" x14ac:dyDescent="0.25">
      <c r="A29" s="4" t="s">
        <v>50</v>
      </c>
      <c r="B29" s="4" t="s">
        <v>117</v>
      </c>
      <c r="C29" s="4">
        <v>11</v>
      </c>
      <c r="D29" s="4">
        <v>485</v>
      </c>
      <c r="E29" s="4">
        <v>8</v>
      </c>
      <c r="F29" s="9">
        <f>E29/C29+3.7</f>
        <v>4.4272727272727277</v>
      </c>
      <c r="G29" s="78">
        <f>E29/D29</f>
        <v>1.6494845360824743E-2</v>
      </c>
      <c r="H29" s="93">
        <f>D29-E29</f>
        <v>477</v>
      </c>
    </row>
    <row r="30" spans="1:8" ht="15.75" x14ac:dyDescent="0.25">
      <c r="A30" s="4" t="s">
        <v>54</v>
      </c>
      <c r="B30" s="4" t="s">
        <v>117</v>
      </c>
      <c r="C30" s="4">
        <v>20</v>
      </c>
      <c r="D30" s="4">
        <v>767</v>
      </c>
      <c r="E30" s="4">
        <v>500</v>
      </c>
      <c r="F30" s="9">
        <f>E30/C30+2.7</f>
        <v>27.7</v>
      </c>
      <c r="G30" s="78">
        <f>E30/D30</f>
        <v>0.65189048239895697</v>
      </c>
      <c r="H30" s="93">
        <f>D30-E30</f>
        <v>267</v>
      </c>
    </row>
  </sheetData>
  <sortState xmlns:xlrd2="http://schemas.microsoft.com/office/spreadsheetml/2017/richdata2" ref="A2:H30">
    <sortCondition descending="1" ref="H1:H30"/>
  </sortState>
  <conditionalFormatting sqref="G2:G30">
    <cfRule type="cellIs" dxfId="0" priority="1" operator="greaterThan">
      <formula>0.17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AVG</vt:lpstr>
      <vt:lpstr>VIT D</vt:lpstr>
      <vt:lpstr>VIT B12</vt:lpstr>
      <vt:lpstr>TSH</vt:lpstr>
      <vt:lpstr>FERRITIN</vt:lpstr>
      <vt:lpstr>FT4</vt:lpstr>
      <vt:lpstr>FSH</vt:lpstr>
      <vt:lpstr>PROL</vt:lpstr>
      <vt:lpstr>PSA</vt:lpstr>
      <vt:lpstr>BHCG</vt:lpstr>
      <vt:lpstr>HBsAg</vt:lpstr>
      <vt:lpstr>LH</vt:lpstr>
      <vt:lpstr>FT3</vt:lpstr>
      <vt:lpstr>TEST</vt:lpstr>
      <vt:lpstr>AMH</vt:lpstr>
      <vt:lpstr>GLU</vt:lpstr>
      <vt:lpstr>CREAT</vt:lpstr>
      <vt:lpstr>TC</vt:lpstr>
      <vt:lpstr>TG</vt:lpstr>
      <vt:lpstr>GPT</vt:lpstr>
      <vt:lpstr>GOT</vt:lpstr>
      <vt:lpstr>HDL</vt:lpstr>
      <vt:lpstr>LDL</vt:lpstr>
      <vt:lpstr>CRP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Barakat</dc:creator>
  <cp:lastModifiedBy>Ibrahim Barakat</cp:lastModifiedBy>
  <cp:lastPrinted>2026-02-07T07:58:03Z</cp:lastPrinted>
  <dcterms:created xsi:type="dcterms:W3CDTF">2026-01-11T10:22:39Z</dcterms:created>
  <dcterms:modified xsi:type="dcterms:W3CDTF">2026-02-22T05:54:49Z</dcterms:modified>
</cp:coreProperties>
</file>